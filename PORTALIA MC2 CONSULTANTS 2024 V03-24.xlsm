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vinci-my.sharepoint.com/personal/adrien_de_mailly_nesle_edu_devinci_fr/Documents/ESILV/A4/"/>
    </mc:Choice>
  </mc:AlternateContent>
  <xr:revisionPtr revIDLastSave="44" documentId="8_{25C5203A-EA42-47F5-B05E-2C8CD2127EE6}" xr6:coauthVersionLast="47" xr6:coauthVersionMax="47" xr10:uidLastSave="{1469D34B-B1A1-45A2-A012-727C85563D5E}"/>
  <bookViews>
    <workbookView xWindow="-110" yWindow="-110" windowWidth="19420" windowHeight="10300" tabRatio="798" firstSheet="1" activeTab="1" xr2:uid="{00000000-000D-0000-FFFF-FFFF00000000}"/>
  </bookViews>
  <sheets>
    <sheet name="HOW TO USE" sheetId="7" r:id="rId1"/>
    <sheet name="CALCULS" sheetId="13" r:id="rId2"/>
    <sheet name="1. Calcul Avec prov" sheetId="1" r:id="rId3"/>
    <sheet name="2. Calcul Sans prov" sheetId="3" r:id="rId4"/>
    <sheet name="3. Template" sheetId="6" r:id="rId5"/>
    <sheet name="Glossaire" sheetId="12" r:id="rId6"/>
    <sheet name="BS . Avec prov" sheetId="2" r:id="rId7"/>
    <sheet name="BS . Sans prov" sheetId="4" r:id="rId8"/>
    <sheet name="tauxTransport.20240102" sheetId="11" r:id="rId9"/>
  </sheets>
  <definedNames>
    <definedName name="_xlnm._FilterDatabase" localSheetId="8" hidden="1">tauxTransport.20240102!$A$5:$ES$12737</definedName>
    <definedName name="PLA">'3. Template'!#REF!</definedName>
    <definedName name="t_corresp_com">#REF!</definedName>
    <definedName name="tx_taxe_transport">'1. Calcul Avec prov'!$M$27</definedName>
    <definedName name="_xlnm.Print_Area" localSheetId="4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3" l="1"/>
  <c r="B5" i="13"/>
  <c r="B3" i="13"/>
  <c r="E14" i="6"/>
  <c r="E13" i="6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B8" i="13" l="1"/>
  <c r="D4" i="13" s="1"/>
  <c r="B10" i="13"/>
  <c r="M26" i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<sst xmlns="http://schemas.openxmlformats.org/spreadsheetml/2006/main" count="55495" uniqueCount="27563">
  <si>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</si>
  <si>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</si>
  <si>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</si>
  <si>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</si>
  <si>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</si>
  <si>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</si>
  <si>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</si>
  <si>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</si>
  <si>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</si>
  <si>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</si>
  <si>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</si>
  <si>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</si>
  <si>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</si>
  <si>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</si>
  <si>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</si>
  <si>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</si>
  <si>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</si>
  <si>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</si>
  <si>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</si>
  <si>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</si>
  <si>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</si>
  <si>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</si>
  <si>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</si>
  <si>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</si>
  <si>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</si>
  <si>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</si>
  <si>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</si>
  <si>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</si>
  <si>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</si>
  <si>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</si>
  <si>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</si>
  <si>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</si>
  <si>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</si>
  <si>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</si>
  <si>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</si>
  <si>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</si>
  <si>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</si>
  <si>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</si>
  <si>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</si>
  <si>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</si>
  <si>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</si>
  <si>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</si>
  <si>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</si>
  <si>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</si>
  <si>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</si>
  <si>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</si>
  <si>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</si>
  <si>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</si>
  <si>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</si>
  <si>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</si>
  <si>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</si>
  <si>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</si>
  <si>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</si>
  <si>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</si>
  <si>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</si>
  <si>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</si>
  <si>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</si>
  <si>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</si>
  <si>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</si>
  <si>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</si>
  <si>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</si>
  <si>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</si>
  <si>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</si>
  <si>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</si>
  <si>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</si>
  <si>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</si>
  <si>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</si>
  <si>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</si>
  <si>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</si>
  <si>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</si>
  <si>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</si>
  <si>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</si>
  <si>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</si>
  <si>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</si>
  <si>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</si>
  <si>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</si>
  <si>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</si>
  <si>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</si>
  <si>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</si>
  <si>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</si>
  <si>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</si>
  <si>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</si>
  <si>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</si>
  <si>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</si>
  <si>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</si>
  <si>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</si>
  <si>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</si>
  <si>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</si>
  <si>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</si>
  <si>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</si>
  <si>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</si>
  <si>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</si>
  <si>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</si>
  <si>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</si>
  <si>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</si>
  <si>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</si>
  <si>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</si>
  <si>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</si>
  <si>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</si>
  <si>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</si>
  <si>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</si>
  <si>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</si>
  <si>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</si>
  <si>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</si>
  <si>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</si>
  <si>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</si>
  <si>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</si>
  <si>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</si>
  <si>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</si>
  <si>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</si>
  <si>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</si>
  <si>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</si>
  <si>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</si>
  <si>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</si>
  <si>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</si>
  <si>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</si>
  <si>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</si>
  <si>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</si>
  <si>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</si>
  <si>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</si>
  <si>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</si>
  <si>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</si>
  <si>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</si>
  <si>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</si>
  <si>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</si>
  <si>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</si>
  <si>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</si>
  <si>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</si>
  <si>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</si>
  <si>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</si>
  <si>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</si>
  <si>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</si>
  <si>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</si>
  <si>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</si>
  <si>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</si>
  <si>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</si>
  <si>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</si>
  <si>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</si>
  <si>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</si>
  <si>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</si>
  <si>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</si>
  <si>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</si>
  <si>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</si>
  <si>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</si>
  <si>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</si>
  <si>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</si>
  <si>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</si>
  <si>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</si>
  <si>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</si>
  <si>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</si>
  <si>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</si>
  <si>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</si>
  <si>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</si>
  <si>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</si>
  <si>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</si>
  <si>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</si>
  <si>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</si>
  <si>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</si>
  <si>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</si>
  <si>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</si>
  <si>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</si>
  <si>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</si>
  <si>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</si>
  <si>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</si>
  <si>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</si>
  <si>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</si>
  <si>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</si>
  <si>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</si>
  <si>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</si>
  <si>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</si>
  <si>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</si>
  <si>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</si>
  <si>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</si>
  <si>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</si>
  <si>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</si>
  <si>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</si>
  <si>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</si>
  <si>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</si>
  <si>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</si>
  <si>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</si>
  <si>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</si>
  <si>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</si>
  <si>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</si>
  <si>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</si>
  <si>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</si>
  <si>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</si>
  <si>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</si>
  <si>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</si>
  <si>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</si>
  <si>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</si>
  <si>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</si>
  <si>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</si>
  <si>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</si>
  <si>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</si>
  <si>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</si>
  <si>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</si>
  <si>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</si>
  <si>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</si>
  <si>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</si>
  <si>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</si>
  <si>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</si>
  <si>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</si>
  <si>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</si>
  <si>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</si>
  <si>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</si>
  <si>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</si>
  <si>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</si>
  <si>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</si>
  <si>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</si>
  <si>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</si>
  <si>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</si>
  <si>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</si>
  <si>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</si>
  <si>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</si>
  <si>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</si>
  <si>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</si>
  <si>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</si>
  <si>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</si>
  <si>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</si>
  <si>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</si>
  <si>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</si>
  <si>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</si>
  <si>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</si>
  <si>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</si>
  <si>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</si>
  <si>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</si>
  <si>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</si>
  <si>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</si>
  <si>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</si>
  <si>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</si>
  <si>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</si>
  <si>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</si>
  <si>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</si>
  <si>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</si>
  <si>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</si>
  <si>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</si>
  <si>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</si>
  <si>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</si>
  <si>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</si>
  <si>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</si>
  <si>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</si>
  <si>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</si>
  <si>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</si>
  <si>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</si>
  <si>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</si>
  <si>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</si>
  <si>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</si>
  <si>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</si>
  <si>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</si>
  <si>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</si>
  <si>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</si>
  <si>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</si>
  <si>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</si>
  <si>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</si>
  <si>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</si>
  <si>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</si>
  <si>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</si>
  <si>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</si>
  <si>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</si>
  <si>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</si>
  <si>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</si>
  <si>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</si>
  <si>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</si>
  <si>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</si>
  <si>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</si>
  <si>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</si>
  <si>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</si>
  <si>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</si>
  <si>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</si>
  <si>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</si>
  <si>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</si>
  <si>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</si>
  <si>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</si>
  <si>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</si>
  <si>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</si>
  <si>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</si>
  <si>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</si>
  <si>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</si>
  <si>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</si>
  <si>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</si>
  <si>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</si>
  <si>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</si>
  <si>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</si>
  <si>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</si>
  <si>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</si>
  <si>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</si>
  <si>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</si>
  <si>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</si>
  <si>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</si>
  <si>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</si>
  <si>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</si>
  <si>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</si>
  <si>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</si>
  <si>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</si>
  <si>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</si>
  <si>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</si>
  <si>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</si>
  <si>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</si>
  <si>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</si>
  <si>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</si>
  <si>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</si>
  <si>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</si>
  <si>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</si>
  <si>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</si>
  <si>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</si>
  <si>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</si>
  <si>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</si>
  <si>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</si>
  <si>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</si>
  <si>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</si>
  <si>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</si>
  <si>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</si>
  <si>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</si>
  <si>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</si>
  <si>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</si>
  <si>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</si>
  <si>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</si>
  <si>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</si>
  <si>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</si>
  <si>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</si>
  <si>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</si>
  <si>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</si>
  <si>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</si>
  <si>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</si>
  <si>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</si>
  <si>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</si>
  <si>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</si>
  <si>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</si>
  <si>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</si>
  <si>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</si>
  <si>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</si>
  <si>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</si>
  <si>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</si>
  <si>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</si>
  <si>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</si>
  <si>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</si>
  <si>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</si>
  <si>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</si>
  <si>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</si>
  <si>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</si>
  <si>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</si>
  <si>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</si>
  <si>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</si>
  <si>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</si>
  <si>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</si>
  <si>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</si>
  <si>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</si>
  <si>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</si>
  <si>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</si>
  <si>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</si>
  <si>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</si>
  <si>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</si>
  <si>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</si>
  <si>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</si>
  <si>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</si>
  <si>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</si>
  <si>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</si>
  <si>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</si>
  <si>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</si>
  <si>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</si>
  <si>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</si>
  <si>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</si>
  <si>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</si>
  <si>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</si>
  <si>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</si>
  <si>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</si>
  <si>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</si>
  <si>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</si>
  <si>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</si>
  <si>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</si>
  <si>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</si>
  <si>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</si>
  <si>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</si>
  <si>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</si>
  <si>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</si>
  <si>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</si>
  <si>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</si>
  <si>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</si>
  <si>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</si>
  <si>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</si>
  <si>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</si>
  <si>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</si>
  <si>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</si>
  <si>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</si>
  <si>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</si>
  <si>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</si>
  <si>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</si>
  <si>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</si>
  <si>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</si>
  <si>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</si>
  <si>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</si>
  <si>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</si>
  <si>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</si>
  <si>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</si>
  <si>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</si>
  <si>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</si>
  <si>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</si>
  <si>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</si>
  <si>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</si>
  <si>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</si>
  <si>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</si>
  <si>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</si>
  <si>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</si>
  <si>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</si>
  <si>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</si>
  <si>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</si>
  <si>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</si>
  <si>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</si>
  <si>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</si>
  <si>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</si>
  <si>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</si>
  <si>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</si>
  <si>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</si>
  <si>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</si>
  <si>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</si>
  <si>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</si>
  <si>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</si>
  <si>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</si>
  <si>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</si>
  <si>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</si>
  <si>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</si>
  <si>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</si>
  <si>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</si>
  <si>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</si>
  <si>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</si>
  <si>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</si>
  <si>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</si>
  <si>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</si>
  <si>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</si>
  <si>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</si>
  <si>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</si>
  <si>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</si>
  <si>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</si>
  <si>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</si>
  <si>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</si>
  <si>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</si>
  <si>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</si>
  <si>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</si>
  <si>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</si>
  <si>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</si>
  <si>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</si>
  <si>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</si>
  <si>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</si>
  <si>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</si>
  <si>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</si>
  <si>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</si>
  <si>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</si>
  <si>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</si>
  <si>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</si>
  <si>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</si>
  <si>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</si>
  <si>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</si>
  <si>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</si>
  <si>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</si>
  <si>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</si>
  <si>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</si>
  <si>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</si>
  <si>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</si>
  <si>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</si>
  <si>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</si>
  <si>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</si>
  <si>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</si>
  <si>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</si>
  <si>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</si>
  <si>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</si>
  <si>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</si>
  <si>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</si>
  <si>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</si>
  <si>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</si>
  <si>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</si>
  <si>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</si>
  <si>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</si>
  <si>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</si>
  <si>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</si>
  <si>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</si>
  <si>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</si>
  <si>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</si>
  <si>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</si>
  <si>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</si>
  <si>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</si>
  <si>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</si>
  <si>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</si>
  <si>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</si>
  <si>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</si>
  <si>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</si>
  <si>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</si>
  <si>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</si>
  <si>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</si>
  <si>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</si>
  <si>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</si>
  <si>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</si>
  <si>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</si>
  <si>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</si>
  <si>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</si>
  <si>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</si>
  <si>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</si>
  <si>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</si>
  <si>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</si>
  <si>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</si>
  <si>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</si>
  <si>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</si>
  <si>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</si>
  <si>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</si>
  <si>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</si>
  <si>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</si>
  <si>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</si>
  <si>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</si>
  <si>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</si>
  <si>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</si>
  <si>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</si>
  <si>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</si>
  <si>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</si>
  <si>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</si>
  <si>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</si>
  <si>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</si>
  <si>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</si>
  <si>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</si>
  <si>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</si>
  <si>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</si>
  <si>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</si>
  <si>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</si>
  <si>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</si>
  <si>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</si>
  <si>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</si>
  <si>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</si>
  <si>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</si>
  <si>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</si>
  <si>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</si>
  <si>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</si>
  <si>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</si>
  <si>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</si>
  <si>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</si>
  <si>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</si>
  <si>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</si>
  <si>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</si>
  <si>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</si>
  <si>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</si>
  <si>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</si>
  <si>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</si>
  <si>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</si>
  <si>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</si>
  <si>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</si>
  <si>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</si>
  <si>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</si>
  <si>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</si>
  <si>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</si>
  <si>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</si>
  <si>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</si>
  <si>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</si>
  <si>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</si>
  <si>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</si>
  <si>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</si>
  <si>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</si>
  <si>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</si>
  <si>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</si>
  <si>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</si>
  <si>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</si>
  <si>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</si>
  <si>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</si>
  <si>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</si>
  <si>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</si>
  <si>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</si>
  <si>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</si>
  <si>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</si>
  <si>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</si>
  <si>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</si>
  <si>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</si>
  <si>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</si>
  <si>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</si>
  <si>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</si>
  <si>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</si>
  <si>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</si>
  <si>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</si>
  <si>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</si>
  <si>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</si>
  <si>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</si>
  <si>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</si>
  <si>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</si>
  <si>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</si>
  <si>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</si>
  <si>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</si>
  <si>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</si>
  <si>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</si>
  <si>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</si>
  <si>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</si>
  <si>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</si>
  <si>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</si>
  <si>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</si>
  <si>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</si>
  <si>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</si>
  <si>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</si>
  <si>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</si>
  <si>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</si>
  <si>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</si>
  <si>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</si>
  <si>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</si>
  <si>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</si>
  <si>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</si>
  <si>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</si>
  <si>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</si>
  <si>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</si>
  <si>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</si>
  <si>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</si>
  <si>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</si>
  <si>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</si>
  <si>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</si>
  <si>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</si>
  <si>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</si>
  <si>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</si>
  <si>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</si>
  <si>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</si>
  <si>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</si>
  <si>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</si>
  <si>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</si>
  <si>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</si>
  <si>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</si>
  <si>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</si>
  <si>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</si>
  <si>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</si>
  <si>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</si>
  <si>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</si>
  <si>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</si>
  <si>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</si>
  <si>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</si>
  <si>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</si>
  <si>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</si>
  <si>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</si>
  <si>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</si>
  <si>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</si>
  <si>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</si>
  <si>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</si>
  <si>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</si>
  <si>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</si>
  <si>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</si>
  <si>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</si>
  <si>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</si>
  <si>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</si>
  <si>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</si>
  <si>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</si>
  <si>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</si>
  <si>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</si>
  <si>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</si>
  <si>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</si>
  <si>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</si>
  <si>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</si>
  <si>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</si>
  <si>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</si>
  <si>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</si>
  <si>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</si>
  <si>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</si>
  <si>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</si>
  <si>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</si>
  <si>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</si>
  <si>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</si>
  <si>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</si>
  <si>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</si>
  <si>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</si>
  <si>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</si>
  <si>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</si>
  <si>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</si>
  <si>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</si>
  <si>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</si>
  <si>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</si>
  <si>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</si>
  <si>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</si>
  <si>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</si>
  <si>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</si>
  <si>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</si>
  <si>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</si>
  <si>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</si>
  <si>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</si>
  <si>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</si>
  <si>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</si>
  <si>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</si>
  <si>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</si>
  <si>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</si>
  <si>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</si>
  <si>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</si>
  <si>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</si>
  <si>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</si>
  <si>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</si>
  <si>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</si>
  <si>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</si>
  <si>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</si>
  <si>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</si>
  <si>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</si>
  <si>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</si>
  <si>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</si>
  <si>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</si>
  <si>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</si>
  <si>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</si>
  <si>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</si>
  <si>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</si>
  <si>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</si>
  <si>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</si>
  <si>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</si>
  <si>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</si>
  <si>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</si>
  <si>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</si>
  <si>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</si>
  <si>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</si>
  <si>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</si>
  <si>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</si>
  <si>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</si>
  <si>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</si>
  <si>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</si>
  <si>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</si>
  <si>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</si>
  <si>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</si>
  <si>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</si>
  <si>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</si>
  <si>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</si>
  <si>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</si>
  <si>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</si>
  <si>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</si>
  <si>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</si>
  <si>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</si>
  <si>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</si>
  <si>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</si>
  <si>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</si>
  <si>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</si>
  <si>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</si>
  <si>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</si>
  <si>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</si>
  <si>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</si>
  <si>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</si>
  <si>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</si>
  <si>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</si>
  <si>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</si>
  <si>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</si>
  <si>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</si>
  <si>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</si>
  <si>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</si>
  <si>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</si>
  <si>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</si>
  <si>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</si>
  <si>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</si>
  <si>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</si>
  <si>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</si>
  <si>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</si>
  <si>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</si>
  <si>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</si>
  <si>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</si>
  <si>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</si>
  <si>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</si>
  <si>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</si>
  <si>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</si>
  <si>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</si>
  <si>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</si>
  <si>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</si>
  <si>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</si>
  <si>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</si>
  <si>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</si>
  <si>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</si>
  <si>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</si>
  <si>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</si>
  <si>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</si>
  <si>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</si>
  <si>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</si>
  <si>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</si>
  <si>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</si>
  <si>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</si>
  <si>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</si>
  <si>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</si>
  <si>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</si>
  <si>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</si>
  <si>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</si>
  <si>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</si>
  <si>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</si>
  <si>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</si>
  <si>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</si>
  <si>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</si>
  <si>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</si>
  <si>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</si>
  <si>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</si>
  <si>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</si>
  <si>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</si>
  <si>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</si>
  <si>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</si>
  <si>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</si>
  <si>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</si>
  <si>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</si>
  <si>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</si>
  <si>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</si>
  <si>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</si>
  <si>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</si>
  <si>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</si>
  <si>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</si>
  <si>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</si>
  <si>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</si>
  <si>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</si>
  <si>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</si>
  <si>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</si>
  <si>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</si>
  <si>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</si>
  <si>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</si>
  <si>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</si>
  <si>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</si>
  <si>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</si>
  <si>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</si>
  <si>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</si>
  <si>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</si>
  <si>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</si>
  <si>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</si>
  <si>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</si>
  <si>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</si>
  <si>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</si>
  <si>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</si>
  <si>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</si>
  <si>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</si>
  <si>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</si>
  <si>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</si>
  <si>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</si>
  <si>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</si>
  <si>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</si>
  <si>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</si>
  <si>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</si>
  <si>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</si>
  <si>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</si>
  <si>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</si>
  <si>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</si>
  <si>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</si>
  <si>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</si>
  <si>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</si>
  <si>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</si>
  <si>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</si>
  <si>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</si>
  <si>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</si>
  <si>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</si>
  <si>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</si>
  <si>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</si>
  <si>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</si>
  <si>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</si>
  <si>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</si>
  <si>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</si>
  <si>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</si>
  <si>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</si>
  <si>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</si>
  <si>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</si>
  <si>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</si>
  <si>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</si>
  <si>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</si>
  <si>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</si>
  <si>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</si>
  <si>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</si>
  <si>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</si>
  <si>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</si>
  <si>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</si>
  <si>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</si>
  <si>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</si>
  <si>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</si>
  <si>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</si>
  <si>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</si>
  <si>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</si>
  <si>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</si>
  <si>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</si>
  <si>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</si>
  <si>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</si>
  <si>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</si>
  <si>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</si>
  <si>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</si>
  <si>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</si>
  <si>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</si>
  <si>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</si>
  <si>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</si>
  <si>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</si>
  <si>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</si>
  <si>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</si>
  <si>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</si>
  <si>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</si>
  <si>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</si>
  <si>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</si>
  <si>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</si>
  <si>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</si>
  <si>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</si>
  <si>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</si>
  <si>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</si>
  <si>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</si>
  <si>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</si>
  <si>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</si>
  <si>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</si>
  <si>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</si>
  <si>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</si>
  <si>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</si>
  <si>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</si>
  <si>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</si>
  <si>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</si>
  <si>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</si>
  <si>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</si>
  <si>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</si>
  <si>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</si>
  <si>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</si>
  <si>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</si>
  <si>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</si>
  <si>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</si>
  <si>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</si>
  <si>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</si>
  <si>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</si>
  <si>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</si>
  <si>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</si>
  <si>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</si>
  <si>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</si>
  <si>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</si>
  <si>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</si>
  <si>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</si>
  <si>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</si>
  <si>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</si>
  <si>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</si>
  <si>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</si>
  <si>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</si>
  <si>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</si>
  <si>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</si>
  <si>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</si>
  <si>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</si>
  <si>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</si>
  <si>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</si>
  <si>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</si>
  <si>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</si>
  <si>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</si>
  <si>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</si>
  <si>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</si>
  <si>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</si>
  <si>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</si>
  <si>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</si>
  <si>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</si>
  <si>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</si>
  <si>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</si>
  <si>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</si>
  <si>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</si>
  <si>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</si>
  <si>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</si>
  <si>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</si>
  <si>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</si>
  <si>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</si>
  <si>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</si>
  <si>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</si>
  <si>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</si>
  <si>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</si>
  <si>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</si>
  <si>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</si>
  <si>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</si>
  <si>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</si>
  <si>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</si>
  <si>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</si>
  <si>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</si>
  <si>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</si>
  <si>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</si>
  <si>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</si>
  <si>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</si>
  <si>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</si>
  <si>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</si>
  <si>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</si>
  <si>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</si>
  <si>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</si>
  <si>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</si>
  <si>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</si>
  <si>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</si>
  <si>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</si>
  <si>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</si>
  <si>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</si>
  <si>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</si>
  <si>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</si>
  <si>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</si>
  <si>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</si>
  <si>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</si>
  <si>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</si>
  <si>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</si>
  <si>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</si>
  <si>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</si>
  <si>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</si>
  <si>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</si>
  <si>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</si>
  <si>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</si>
  <si>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</si>
  <si>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</si>
  <si>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</si>
  <si>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</si>
  <si>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</si>
  <si>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</si>
  <si>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</si>
  <si>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</si>
  <si>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</si>
  <si>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</si>
  <si>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</si>
  <si>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</si>
  <si>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</si>
  <si>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</si>
  <si>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</si>
  <si>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</si>
  <si>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</si>
  <si>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</si>
  <si>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</si>
  <si>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</si>
  <si>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</si>
  <si>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</si>
  <si>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</si>
  <si>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</si>
  <si>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</si>
  <si>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</si>
  <si>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</si>
  <si>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</si>
  <si>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</si>
  <si>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</si>
  <si>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</si>
  <si>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</si>
  <si>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</si>
  <si>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</si>
  <si>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</si>
  <si>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</si>
  <si>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</si>
  <si>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</si>
  <si>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</si>
  <si>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</si>
  <si>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</si>
  <si>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</si>
  <si>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</si>
  <si>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</si>
  <si>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</si>
  <si>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</si>
  <si>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</si>
  <si>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</si>
  <si>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</si>
  <si>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</si>
  <si>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</si>
  <si>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</si>
  <si>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</si>
  <si>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</si>
  <si>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</si>
  <si>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</si>
  <si>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</si>
  <si>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</si>
  <si>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</si>
  <si>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</si>
  <si>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</si>
  <si>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</si>
  <si>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</si>
  <si>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</si>
  <si>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</si>
  <si>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</si>
  <si>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</si>
  <si>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</si>
  <si>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</si>
  <si>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</si>
  <si>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</si>
  <si>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</si>
  <si>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</si>
  <si>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</si>
  <si>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</si>
  <si>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</si>
  <si>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</si>
  <si>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</si>
  <si>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</si>
  <si>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</si>
  <si>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</si>
  <si>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</si>
  <si>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</si>
  <si>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</si>
  <si>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</si>
  <si>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</si>
  <si>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</si>
  <si>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</si>
  <si>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</si>
  <si>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</si>
  <si>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</si>
  <si>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</si>
  <si>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</si>
  <si>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</si>
  <si>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</si>
  <si>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</si>
  <si>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</si>
  <si>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</si>
  <si>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</si>
  <si>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</si>
  <si>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</si>
  <si>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</si>
  <si>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</si>
  <si>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</si>
  <si>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</si>
  <si>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</si>
  <si>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</si>
  <si>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</si>
  <si>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</si>
  <si>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</si>
  <si>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</si>
  <si>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</si>
  <si>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</si>
  <si>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</si>
  <si>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</si>
  <si>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</si>
  <si>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</si>
  <si>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</si>
  <si>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</si>
  <si>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</si>
  <si>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</si>
  <si>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</si>
  <si>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</si>
  <si>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</si>
  <si>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</si>
  <si>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</si>
  <si>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</si>
  <si>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</si>
  <si>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</si>
  <si>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</si>
  <si>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</si>
  <si>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</si>
  <si>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</si>
  <si>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</si>
  <si>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</si>
  <si>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</si>
  <si>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</si>
  <si>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</si>
  <si>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</si>
  <si>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</si>
  <si>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</si>
  <si>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</si>
  <si>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</si>
  <si>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</si>
  <si>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</si>
  <si>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</si>
  <si>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</si>
  <si>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</si>
  <si>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</si>
  <si>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</si>
  <si>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</si>
  <si>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</si>
  <si>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</si>
  <si>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</si>
  <si>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</si>
  <si>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</si>
  <si>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</si>
  <si>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</si>
  <si>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</si>
  <si>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</si>
  <si>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</si>
  <si>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</si>
  <si>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</si>
  <si>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</si>
  <si>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</si>
  <si>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</si>
  <si>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</si>
  <si>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</si>
  <si>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</si>
  <si>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</si>
  <si>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</si>
  <si>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</si>
  <si>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</si>
  <si>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</si>
  <si>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</si>
  <si>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</si>
  <si>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</si>
  <si>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</si>
  <si>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</si>
  <si>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</si>
  <si>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</si>
  <si>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</si>
  <si>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</si>
  <si>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</si>
  <si>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</si>
  <si>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</si>
  <si>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</si>
  <si>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</si>
  <si>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</si>
  <si>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</si>
  <si>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</si>
  <si>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</si>
  <si>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</si>
  <si>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</si>
  <si>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</si>
  <si>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</si>
  <si>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</si>
  <si>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</si>
  <si>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</si>
  <si>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</si>
  <si>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</si>
  <si>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</si>
  <si>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</si>
  <si>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</si>
  <si>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</si>
  <si>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</si>
  <si>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</si>
  <si>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</si>
  <si>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</si>
  <si>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</si>
  <si>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</si>
  <si>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</si>
  <si>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</si>
  <si>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</si>
  <si>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</si>
  <si>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</si>
  <si>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</si>
  <si>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</si>
  <si>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</si>
  <si>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</si>
  <si>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</si>
  <si>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</si>
  <si>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</si>
  <si>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</si>
  <si>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</si>
  <si>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</si>
  <si>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</si>
  <si>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</si>
  <si>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</si>
  <si>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</si>
  <si>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</si>
  <si>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</si>
  <si>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</si>
  <si>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</si>
  <si>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</si>
  <si>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</si>
  <si>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</si>
  <si>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</si>
  <si>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</si>
  <si>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</si>
  <si>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</si>
  <si>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</si>
  <si>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</si>
  <si>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</si>
  <si>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</si>
  <si>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</si>
  <si>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</si>
  <si>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</si>
  <si>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</si>
  <si>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</si>
  <si>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</si>
  <si>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</si>
  <si>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</si>
  <si>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</si>
  <si>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</si>
  <si>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</si>
  <si>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</si>
  <si>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</si>
  <si>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</si>
  <si>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</si>
  <si>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</si>
  <si>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</si>
  <si>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</si>
  <si>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</si>
  <si>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</si>
  <si>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</si>
  <si>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</si>
  <si>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</si>
  <si>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</si>
  <si>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</si>
  <si>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</si>
  <si>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</si>
  <si>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</si>
  <si>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</si>
  <si>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</si>
  <si>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</si>
  <si>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</si>
  <si>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</si>
  <si>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</si>
  <si>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</si>
  <si>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</si>
  <si>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</si>
  <si>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</si>
  <si>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</si>
  <si>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</si>
  <si>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</si>
  <si>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</si>
  <si>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</si>
  <si>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</si>
  <si>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</si>
  <si>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</si>
  <si>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</si>
  <si>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</si>
  <si>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</si>
  <si>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</si>
  <si>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</si>
  <si>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</si>
  <si>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</si>
  <si>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</si>
  <si>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</si>
  <si>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</si>
  <si>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</si>
  <si>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</si>
  <si>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</si>
  <si>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</si>
  <si>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</si>
  <si>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</si>
  <si>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</si>
  <si>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</si>
  <si>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</si>
  <si>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</si>
  <si>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</si>
  <si>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</si>
  <si>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</si>
  <si>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</si>
  <si>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</si>
  <si>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</si>
  <si>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</si>
  <si>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</si>
  <si>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</si>
  <si>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</si>
  <si>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</si>
  <si>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</si>
  <si>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</si>
  <si>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</si>
  <si>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</si>
  <si>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</si>
  <si>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</si>
  <si>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</si>
  <si>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</si>
  <si>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</si>
  <si>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</si>
  <si>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</si>
  <si>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</si>
  <si>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</si>
  <si>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</si>
  <si>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</si>
  <si>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</si>
  <si>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</si>
  <si>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</si>
  <si>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</si>
  <si>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</si>
  <si>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</si>
  <si>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</si>
  <si>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</si>
  <si>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</si>
  <si>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</si>
  <si>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</si>
  <si>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</si>
  <si>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</si>
  <si>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</si>
  <si>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</si>
  <si>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</si>
  <si>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</si>
  <si>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</si>
  <si>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</si>
  <si>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</si>
  <si>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</si>
  <si>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</si>
  <si>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</si>
  <si>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</si>
  <si>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</si>
  <si>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</si>
  <si>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</si>
  <si>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</si>
  <si>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</si>
  <si>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</si>
  <si>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</si>
  <si>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</si>
  <si>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</si>
  <si>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</si>
  <si>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</si>
  <si>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</si>
  <si>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</si>
  <si>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</si>
  <si>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</si>
  <si>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</si>
  <si>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</si>
  <si>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</si>
  <si>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</si>
  <si>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</si>
  <si>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</si>
  <si>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</si>
  <si>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</si>
  <si>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</si>
  <si>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</si>
  <si>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</si>
  <si>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</si>
  <si>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</si>
  <si>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</si>
  <si>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</si>
  <si>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</si>
  <si>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</si>
  <si>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</si>
  <si>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</si>
  <si>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</si>
  <si>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</si>
  <si>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</si>
  <si>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</si>
  <si>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</si>
  <si>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</si>
  <si>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</si>
  <si>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</si>
  <si>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</si>
  <si>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</si>
  <si>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</si>
  <si>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</si>
  <si>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</si>
  <si>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</si>
  <si>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</si>
  <si>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</si>
  <si>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</si>
  <si>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</si>
  <si>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</si>
  <si>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</si>
  <si>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</si>
  <si>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</si>
  <si>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</si>
  <si>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</si>
  <si>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</si>
  <si>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</si>
  <si>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</si>
  <si>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</si>
  <si>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</si>
  <si>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</si>
  <si>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</si>
  <si>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</si>
  <si>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</si>
  <si>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</si>
  <si>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</si>
  <si>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</si>
  <si>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</si>
  <si>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</si>
  <si>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</si>
  <si>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</si>
  <si>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</si>
  <si>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</si>
  <si>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</si>
  <si>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</si>
  <si>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</si>
  <si>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</si>
  <si>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</si>
  <si>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</si>
  <si>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</si>
  <si>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</si>
  <si>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</si>
  <si>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</si>
  <si>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</si>
  <si>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</si>
  <si>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</si>
  <si>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</si>
  <si>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</si>
  <si>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</si>
  <si>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</si>
  <si>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</si>
  <si>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</si>
  <si>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</si>
  <si>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</si>
  <si>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</si>
  <si>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</si>
  <si>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</si>
  <si>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</si>
  <si>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</si>
  <si>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</si>
  <si>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</si>
  <si>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</si>
  <si>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</si>
  <si>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</si>
  <si>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</si>
  <si>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</si>
  <si>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</si>
  <si>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</si>
  <si>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</si>
  <si>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</si>
  <si>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</si>
  <si>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</si>
  <si>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</si>
  <si>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</si>
  <si>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</si>
  <si>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</si>
  <si>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</si>
  <si>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</si>
  <si>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</si>
  <si>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</si>
  <si>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</si>
  <si>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</si>
  <si>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</si>
  <si>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</si>
  <si>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</si>
  <si>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</si>
  <si>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</si>
  <si>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</si>
  <si>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</si>
  <si>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</si>
  <si>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</si>
  <si>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</si>
  <si>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</si>
  <si>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</si>
  <si>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</si>
  <si>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</si>
  <si>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</si>
  <si>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</si>
  <si>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</si>
  <si>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</si>
  <si>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</si>
  <si>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</si>
  <si>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</si>
  <si>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</si>
  <si>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</si>
  <si>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</si>
  <si>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</si>
  <si>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</si>
  <si>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</si>
  <si>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</si>
  <si>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</si>
  <si>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</si>
  <si>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</si>
  <si>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</si>
  <si>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</si>
  <si>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</si>
  <si>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</si>
  <si>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</si>
  <si>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</si>
  <si>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</si>
  <si>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</si>
  <si>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</si>
  <si>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</si>
  <si>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</si>
  <si>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</si>
  <si>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</si>
  <si>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</si>
  <si>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</si>
  <si>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</si>
  <si>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</si>
  <si>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</si>
  <si>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</si>
  <si>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</si>
  <si>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</si>
  <si>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</si>
  <si>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</si>
  <si>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</si>
  <si>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</si>
  <si>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</si>
  <si>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</si>
  <si>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</si>
  <si>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</si>
  <si>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</si>
  <si>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</si>
  <si>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</si>
  <si>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</si>
  <si>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</si>
  <si>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</si>
  <si>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</si>
  <si>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</si>
  <si>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</si>
  <si>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</si>
  <si>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</si>
  <si>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</si>
  <si>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</si>
  <si>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</si>
  <si>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</si>
  <si>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</si>
  <si>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</si>
  <si>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</si>
  <si>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</si>
  <si>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</si>
  <si>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</si>
  <si>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</si>
  <si>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</si>
  <si>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</si>
  <si>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</si>
  <si>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</si>
  <si>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</si>
  <si>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</si>
  <si>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</si>
  <si>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</si>
  <si>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</si>
  <si>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</si>
  <si>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</si>
  <si>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</si>
  <si>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</si>
  <si>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</si>
  <si>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</si>
  <si>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</si>
  <si>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</si>
  <si>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</si>
  <si>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</si>
  <si>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</si>
  <si>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</si>
  <si>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</si>
  <si>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</si>
  <si>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</si>
  <si>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</si>
  <si>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</si>
  <si>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</si>
  <si>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</si>
  <si>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</si>
  <si>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</si>
  <si>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</si>
  <si>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</si>
  <si>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</si>
  <si>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</si>
  <si>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</si>
  <si>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</si>
  <si>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</si>
  <si>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</si>
  <si>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</si>
  <si>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</si>
  <si>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</si>
  <si>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</si>
  <si>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</si>
  <si>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</si>
  <si>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</si>
  <si>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</si>
  <si>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</si>
  <si>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</si>
  <si>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</si>
  <si>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</si>
  <si>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</si>
  <si>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</si>
  <si>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</si>
  <si>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</si>
  <si>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</si>
  <si>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</si>
  <si>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</si>
  <si>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</si>
  <si>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</si>
  <si>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</si>
  <si>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</si>
  <si>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</si>
  <si>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</si>
  <si>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</si>
  <si>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</si>
  <si>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</si>
  <si>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</si>
  <si>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</si>
  <si>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</si>
  <si>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</si>
  <si>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</si>
  <si>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</si>
  <si>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</si>
  <si>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</si>
  <si>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</si>
  <si>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</si>
  <si>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</si>
  <si>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</si>
  <si>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</si>
  <si>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</si>
  <si>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</si>
  <si>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</si>
  <si>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</si>
  <si>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</si>
  <si>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</si>
  <si>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</si>
  <si>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</si>
  <si>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</si>
  <si>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</si>
  <si>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</si>
  <si>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</si>
  <si>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</si>
  <si>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</si>
  <si>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</si>
  <si>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</si>
  <si>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</si>
  <si>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</si>
  <si>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</si>
  <si>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</si>
  <si>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</si>
  <si>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</si>
  <si>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</si>
  <si>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</si>
  <si>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</si>
  <si>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</si>
  <si>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</si>
  <si>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</si>
  <si>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</si>
  <si>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</si>
  <si>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</si>
  <si>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</si>
  <si>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</si>
  <si>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</si>
  <si>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</si>
  <si>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</si>
  <si>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</si>
  <si>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</si>
  <si>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</si>
  <si>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</si>
  <si>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</si>
  <si>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</si>
  <si>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</si>
  <si>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</si>
  <si>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</si>
  <si>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</si>
  <si>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</si>
  <si>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</si>
  <si>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</si>
  <si>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</si>
  <si>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</si>
  <si>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</si>
  <si>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</si>
  <si>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</si>
  <si>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</si>
  <si>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</si>
  <si>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</si>
  <si>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</si>
  <si>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</si>
  <si>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</si>
  <si>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</si>
  <si>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</si>
  <si>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</si>
  <si>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</si>
  <si>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</si>
  <si>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</si>
  <si>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</si>
  <si>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</si>
  <si>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</si>
  <si>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</si>
  <si>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</si>
  <si>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</si>
  <si>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</si>
  <si>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</si>
  <si>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</si>
  <si>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</si>
  <si>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</si>
  <si>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</si>
  <si>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</si>
  <si>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</si>
  <si>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</si>
  <si>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</si>
  <si>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</si>
  <si>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</si>
  <si>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</si>
  <si>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</si>
  <si>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</si>
  <si>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</si>
  <si>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</si>
  <si>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</si>
  <si>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</si>
  <si>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</si>
  <si>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</si>
  <si>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</si>
  <si>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</si>
  <si>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</si>
  <si>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</si>
  <si>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</si>
  <si>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</si>
  <si>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</si>
  <si>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</si>
  <si>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</si>
  <si>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</si>
  <si>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</si>
  <si>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</si>
  <si>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</si>
  <si>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</si>
  <si>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</si>
  <si>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</si>
  <si>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</si>
  <si>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</si>
  <si>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</si>
  <si>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</si>
  <si>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</si>
  <si>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</si>
  <si>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</si>
  <si>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</si>
  <si>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</si>
  <si>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</si>
  <si>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</si>
  <si>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</si>
  <si>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</si>
  <si>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</si>
  <si>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</si>
  <si>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</si>
  <si>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</si>
  <si>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</si>
  <si>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</si>
  <si>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</si>
  <si>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</si>
  <si>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</si>
  <si>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</si>
  <si>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</si>
  <si>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</si>
  <si>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</si>
  <si>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</si>
  <si>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</si>
  <si>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</si>
  <si>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</si>
  <si>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</si>
  <si>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</si>
  <si>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</si>
  <si>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</si>
  <si>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</si>
  <si>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</si>
  <si>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</si>
  <si>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</si>
  <si>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</si>
  <si>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</si>
  <si>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</si>
  <si>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</si>
  <si>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</si>
  <si>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</si>
  <si>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</si>
  <si>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</si>
  <si>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</si>
  <si>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</si>
  <si>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</si>
  <si>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</si>
  <si>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</si>
  <si>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</si>
  <si>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</si>
  <si>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</si>
  <si>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</si>
  <si>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</si>
  <si>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</si>
  <si>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</si>
  <si>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</si>
  <si>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</si>
  <si>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</si>
  <si>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</si>
  <si>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</si>
  <si>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</si>
  <si>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</si>
  <si>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</si>
  <si>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</si>
  <si>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</si>
  <si>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</si>
  <si>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</si>
  <si>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</si>
  <si>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</si>
  <si>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</si>
  <si>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</si>
  <si>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</si>
  <si>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</si>
  <si>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</si>
  <si>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</si>
  <si>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</si>
  <si>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</si>
  <si>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</si>
  <si>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</si>
  <si>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</si>
  <si>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</si>
  <si>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</si>
  <si>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</si>
  <si>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</si>
  <si>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</si>
  <si>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</si>
  <si>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</si>
  <si>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</si>
  <si>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</si>
  <si>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</si>
  <si>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</si>
  <si>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</si>
  <si>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</si>
  <si>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</si>
  <si>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</si>
  <si>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</si>
  <si>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</si>
  <si>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</si>
  <si>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</si>
  <si>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</si>
  <si>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</si>
  <si>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</si>
  <si>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</si>
  <si>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</si>
  <si>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</si>
  <si>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</si>
  <si>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</si>
  <si>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</si>
  <si>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</si>
  <si>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</si>
  <si>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</si>
  <si>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</si>
  <si>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</si>
  <si>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</si>
  <si>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</si>
  <si>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</si>
  <si>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</si>
  <si>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</si>
  <si>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</si>
  <si>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</si>
  <si>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</si>
  <si>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</si>
  <si>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</si>
  <si>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</si>
  <si>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</si>
  <si>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</si>
  <si>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</si>
  <si>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</si>
  <si>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</si>
  <si>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</si>
  <si>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</si>
  <si>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</si>
  <si>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</si>
  <si>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</si>
  <si>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</si>
  <si>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</si>
  <si>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</si>
  <si>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</si>
  <si>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</si>
  <si>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</si>
  <si>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</si>
  <si>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</si>
  <si>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</si>
  <si>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</si>
  <si>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</si>
  <si>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</si>
  <si>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</si>
  <si>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</si>
  <si>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</si>
  <si>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</si>
  <si>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</si>
  <si>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</si>
  <si>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</si>
  <si>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</si>
  <si>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</si>
  <si>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</si>
  <si>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</si>
  <si>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</si>
  <si>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</si>
  <si>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</si>
  <si>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</si>
  <si>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</si>
  <si>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</si>
  <si>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</si>
  <si>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</si>
  <si>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</si>
  <si>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</si>
  <si>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</si>
  <si>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</si>
  <si>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</si>
  <si>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</si>
  <si>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</si>
  <si>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</si>
  <si>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</si>
  <si>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</si>
  <si>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</si>
  <si>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</si>
  <si>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</si>
  <si>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</si>
  <si>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</si>
  <si>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</si>
  <si>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</si>
  <si>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</si>
  <si>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</si>
  <si>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</si>
  <si>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</si>
  <si>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</si>
  <si>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</si>
  <si>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</si>
  <si>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</si>
  <si>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</si>
  <si>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</si>
  <si>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</si>
  <si>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</si>
  <si>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</si>
  <si>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</si>
  <si>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</si>
  <si>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</si>
  <si>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</si>
  <si>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</si>
  <si>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</si>
  <si>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</si>
  <si>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</si>
  <si>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</si>
  <si>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</si>
  <si>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</si>
  <si>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</si>
  <si>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</si>
  <si>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</si>
  <si>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</si>
  <si>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</si>
  <si>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</si>
  <si>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</si>
  <si>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</si>
  <si>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</si>
  <si>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</si>
  <si>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</si>
  <si>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</si>
  <si>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</si>
  <si>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</si>
  <si>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</si>
  <si>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</si>
  <si>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</si>
  <si>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</si>
  <si>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</si>
  <si>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</si>
  <si>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</si>
  <si>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</si>
  <si>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</si>
  <si>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</si>
  <si>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</si>
  <si>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</si>
  <si>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</si>
  <si>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</si>
  <si>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</si>
  <si>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</si>
  <si>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</si>
  <si>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</si>
  <si>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</si>
  <si>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</si>
  <si>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</si>
  <si>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</si>
  <si>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</si>
  <si>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</si>
  <si>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</si>
  <si>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</si>
  <si>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</si>
  <si>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</si>
  <si>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</si>
  <si>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</si>
  <si>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</si>
  <si>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</si>
  <si>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</si>
  <si>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</si>
  <si>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</si>
  <si>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</si>
  <si>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</si>
  <si>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</si>
  <si>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</si>
  <si>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</si>
  <si>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</si>
  <si>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</si>
  <si>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</si>
  <si>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</si>
  <si>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</si>
  <si>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</si>
  <si>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</si>
  <si>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</si>
  <si>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</si>
  <si>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</si>
  <si>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</si>
  <si>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</si>
  <si>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</si>
  <si>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</si>
  <si>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</si>
  <si>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</si>
  <si>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</si>
  <si>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</si>
  <si>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</si>
  <si>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</si>
  <si>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</si>
  <si>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</si>
  <si>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</si>
  <si>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</si>
  <si>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</si>
  <si>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</si>
  <si>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</si>
  <si>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</si>
  <si>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</si>
  <si>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</si>
  <si>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</si>
  <si>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</si>
  <si>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</si>
  <si>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</si>
  <si>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</si>
  <si>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</si>
  <si>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</si>
  <si>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</si>
  <si>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</si>
  <si>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</si>
  <si>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</si>
  <si>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</si>
  <si>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</si>
  <si>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</si>
  <si>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</si>
  <si>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</si>
  <si>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</si>
  <si>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</si>
  <si>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</si>
  <si>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</si>
  <si>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</si>
  <si>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</si>
  <si>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</si>
  <si>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</si>
  <si>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</si>
  <si>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</si>
  <si>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</si>
  <si>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</si>
  <si>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</si>
  <si>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</si>
  <si>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</si>
  <si>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</si>
  <si>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</si>
  <si>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</si>
  <si>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</si>
  <si>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</si>
  <si>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</si>
  <si>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</si>
  <si>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</si>
  <si>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</si>
  <si>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</si>
  <si>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</si>
  <si>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</si>
  <si>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</si>
  <si>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</si>
  <si>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</si>
  <si>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</si>
  <si>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</si>
  <si>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</si>
  <si>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</si>
  <si>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</si>
  <si>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</si>
  <si>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</si>
  <si>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</si>
  <si>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</si>
  <si>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</si>
  <si>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</si>
  <si>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</si>
  <si>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</si>
  <si>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</si>
  <si>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</si>
  <si>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</si>
  <si>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</si>
  <si>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</si>
  <si>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</si>
  <si>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</si>
  <si>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</si>
  <si>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</si>
  <si>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</si>
  <si>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</si>
  <si>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</si>
  <si>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</si>
  <si>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</si>
  <si>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</si>
  <si>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</si>
  <si>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</si>
  <si>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</si>
  <si>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</si>
  <si>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</si>
  <si>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</si>
  <si>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</si>
  <si>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</si>
  <si>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</si>
  <si>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</si>
  <si>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</si>
  <si>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</si>
  <si>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</si>
  <si>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</si>
  <si>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</si>
  <si>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</si>
  <si>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</si>
  <si>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</si>
  <si>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</si>
  <si>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</si>
  <si>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</si>
  <si>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</si>
  <si>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</si>
  <si>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</si>
  <si>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</si>
  <si>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</si>
  <si>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</si>
  <si>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</si>
  <si>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</si>
  <si>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</si>
  <si>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</si>
  <si>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</si>
  <si>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</si>
  <si>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</si>
  <si>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</si>
  <si>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</si>
  <si>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</si>
  <si>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</si>
  <si>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</si>
  <si>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</si>
  <si>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</si>
  <si>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</si>
  <si>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</si>
  <si>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</si>
  <si>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</si>
  <si>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</si>
  <si>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</si>
  <si>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</si>
  <si>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</si>
  <si>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</si>
  <si>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</si>
  <si>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</si>
  <si>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</si>
  <si>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</si>
  <si>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</si>
  <si>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</si>
  <si>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</si>
  <si>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</si>
  <si>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</si>
  <si>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</si>
  <si>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</si>
  <si>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</si>
  <si>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</si>
  <si>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</si>
  <si>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</si>
  <si>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</si>
  <si>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</si>
  <si>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</si>
  <si>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</si>
  <si>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</si>
  <si>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</si>
  <si>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</si>
  <si>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</si>
  <si>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</si>
  <si>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</si>
  <si>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</si>
  <si>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</si>
  <si>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</si>
  <si>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</si>
  <si>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</si>
  <si>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</si>
  <si>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</si>
  <si>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</si>
  <si>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</si>
  <si>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</si>
  <si>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</si>
  <si>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</si>
  <si>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</si>
  <si>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</si>
  <si>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</si>
  <si>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</si>
  <si>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</si>
  <si>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</si>
  <si>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</si>
  <si>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</si>
  <si>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</si>
  <si>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</si>
  <si>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</si>
  <si>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</si>
  <si>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</si>
  <si>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</si>
  <si>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</si>
  <si>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</si>
  <si>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</si>
  <si>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</si>
  <si>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</si>
  <si>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</si>
  <si>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</si>
  <si>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</si>
  <si>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</si>
  <si>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</si>
  <si>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</si>
  <si>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</si>
  <si>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</si>
  <si>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</si>
  <si>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</si>
  <si>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</si>
  <si>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</si>
  <si>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</si>
  <si>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</si>
  <si>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</si>
  <si>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</si>
  <si>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</si>
  <si>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</si>
  <si>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</si>
  <si>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</si>
  <si>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</si>
  <si>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</si>
  <si>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</si>
  <si>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</si>
  <si>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</si>
  <si>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</si>
  <si>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</si>
  <si>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</si>
  <si>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</si>
  <si>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</si>
  <si>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</si>
  <si>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</si>
  <si>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</si>
  <si>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</si>
  <si>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</si>
  <si>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</si>
  <si>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</si>
  <si>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</si>
  <si>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</si>
  <si>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</si>
  <si>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</si>
  <si>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</si>
  <si>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</si>
  <si>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</si>
  <si>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</si>
  <si>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</si>
  <si>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</si>
  <si>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</si>
  <si>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</si>
  <si>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</si>
  <si>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</si>
  <si>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</si>
  <si>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</si>
  <si>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</si>
  <si>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</si>
  <si>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</si>
  <si>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</si>
  <si>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</si>
  <si>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</si>
  <si>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</si>
  <si>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</si>
  <si>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</si>
  <si>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</si>
  <si>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</si>
  <si>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</si>
  <si>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</si>
  <si>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</si>
  <si>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</si>
  <si>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</si>
  <si>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</si>
  <si>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</si>
  <si>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</si>
  <si>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</si>
  <si>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</si>
  <si>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</si>
  <si>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</si>
  <si>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</si>
  <si>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</si>
  <si>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</si>
  <si>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</si>
  <si>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</si>
  <si>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</si>
  <si>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</si>
  <si>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</si>
  <si>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</si>
  <si>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</si>
  <si>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</si>
  <si>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</si>
  <si>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</si>
  <si>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</si>
  <si>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</si>
  <si>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</si>
  <si>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</si>
  <si>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</si>
  <si>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</si>
  <si>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</si>
  <si>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</si>
  <si>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</si>
  <si>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</si>
  <si>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</si>
  <si>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</si>
  <si>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</si>
  <si>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</si>
  <si>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</si>
  <si>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</si>
  <si>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</si>
  <si>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</si>
  <si>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</si>
  <si>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</si>
  <si>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</si>
  <si>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</si>
  <si>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</si>
  <si>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</si>
  <si>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</si>
  <si>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</si>
  <si>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</si>
  <si>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</si>
  <si>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</si>
  <si>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</si>
  <si>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</si>
  <si>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</si>
  <si>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</si>
  <si>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</si>
  <si>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</si>
  <si>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</si>
  <si>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</si>
  <si>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</si>
  <si>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</si>
  <si>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</si>
  <si>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</si>
  <si>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</si>
  <si>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</si>
  <si>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</si>
  <si>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</si>
  <si>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</si>
  <si>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</si>
  <si>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</si>
  <si>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</si>
  <si>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</si>
  <si>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</si>
  <si>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</si>
  <si>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</si>
  <si>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</si>
  <si>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</si>
  <si>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</si>
  <si>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</si>
  <si>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</si>
  <si>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</si>
  <si>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</si>
  <si>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</si>
  <si>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</si>
  <si>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</si>
  <si>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</si>
  <si>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</si>
  <si>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</si>
  <si>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</si>
  <si>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</si>
  <si>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</si>
  <si>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</si>
  <si>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</si>
  <si>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</si>
  <si>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</si>
  <si>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</si>
  <si>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</si>
  <si>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</si>
  <si>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</si>
  <si>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</si>
  <si>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</si>
  <si>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</si>
  <si>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</si>
  <si>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</si>
  <si>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</si>
  <si>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</si>
  <si>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</si>
  <si>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</si>
  <si>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</si>
  <si>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</si>
  <si>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</si>
  <si>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</si>
  <si>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</si>
  <si>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</si>
  <si>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</si>
  <si>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</si>
  <si>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</si>
  <si>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</si>
  <si>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</si>
  <si>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</si>
  <si>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</si>
  <si>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</si>
  <si>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</si>
  <si>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</si>
  <si>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</si>
  <si>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</si>
  <si>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</si>
  <si>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</si>
  <si>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</si>
  <si>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</si>
  <si>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</si>
  <si>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</si>
  <si>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</si>
  <si>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</si>
  <si>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</si>
  <si>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</si>
  <si>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</si>
  <si>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</si>
  <si>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</si>
  <si>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</si>
  <si>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</si>
  <si>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</si>
  <si>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</si>
  <si>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</si>
  <si>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</si>
  <si>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</si>
  <si>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</si>
  <si>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</si>
  <si>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</si>
  <si>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</si>
  <si>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</si>
  <si>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</si>
  <si>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</si>
  <si>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</si>
  <si>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</si>
  <si>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</si>
  <si>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</si>
  <si>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</si>
  <si>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</si>
  <si>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</si>
  <si>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</si>
  <si>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</si>
  <si>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</si>
  <si>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</si>
  <si>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</si>
  <si>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</si>
  <si>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</si>
  <si>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</si>
  <si>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</si>
  <si>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</si>
  <si>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</si>
  <si>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</si>
  <si>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</si>
  <si>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</si>
  <si>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</si>
  <si>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</si>
  <si>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</si>
  <si>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</si>
  <si>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</si>
  <si>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</si>
  <si>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</si>
  <si>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</si>
  <si>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</si>
  <si>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</si>
  <si>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</si>
  <si>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</si>
  <si>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</si>
  <si>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</si>
  <si>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</si>
  <si>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</si>
  <si>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</si>
  <si>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</si>
  <si>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</si>
  <si>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</si>
  <si>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</si>
  <si>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</si>
  <si>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</si>
  <si>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</si>
  <si>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</si>
  <si>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</si>
  <si>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</si>
  <si>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</si>
  <si>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</si>
  <si>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</si>
  <si>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</si>
  <si>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</si>
  <si>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</si>
  <si>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</si>
  <si>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</si>
  <si>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</si>
  <si>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</si>
  <si>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</si>
  <si>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</si>
  <si>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</si>
  <si>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</si>
  <si>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</si>
  <si>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</si>
  <si>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</si>
  <si>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</si>
  <si>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</si>
  <si>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</si>
  <si>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</si>
  <si>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</si>
  <si>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</si>
  <si>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</si>
  <si>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</si>
  <si>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</si>
  <si>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</si>
  <si>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</si>
  <si>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</si>
  <si>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</si>
  <si>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</si>
  <si>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</si>
  <si>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</si>
  <si>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</si>
  <si>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</si>
  <si>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</si>
  <si>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</si>
  <si>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</si>
  <si>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</si>
  <si>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</si>
  <si>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</si>
  <si>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</si>
  <si>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</si>
  <si>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</si>
  <si>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</si>
  <si>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</si>
  <si>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</si>
  <si>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</si>
  <si>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</si>
  <si>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</si>
  <si>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</si>
  <si>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</si>
  <si>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</si>
  <si>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</si>
  <si>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</si>
  <si>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</si>
  <si>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</si>
  <si>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</si>
  <si>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</si>
  <si>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</si>
  <si>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</si>
  <si>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</si>
  <si>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</si>
  <si>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</si>
  <si>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</si>
  <si>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</si>
  <si>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</si>
  <si>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</si>
  <si>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</si>
  <si>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</si>
  <si>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</si>
  <si>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</si>
  <si>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</si>
  <si>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</si>
  <si>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</si>
  <si>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</si>
  <si>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</si>
  <si>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</si>
  <si>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</si>
  <si>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</si>
  <si>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</si>
  <si>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</si>
  <si>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</si>
  <si>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</si>
  <si>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</si>
  <si>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</si>
  <si>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</si>
  <si>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</si>
  <si>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</si>
  <si>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</si>
  <si>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</si>
  <si>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</si>
  <si>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</si>
  <si>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</si>
  <si>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</si>
  <si>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</si>
  <si>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</si>
  <si>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</si>
  <si>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</si>
  <si>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</si>
  <si>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</si>
  <si>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</si>
  <si>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</si>
  <si>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</si>
  <si>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</si>
  <si>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</si>
  <si>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</si>
  <si>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</si>
  <si>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</si>
  <si>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</si>
  <si>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</si>
  <si>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</si>
  <si>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</si>
  <si>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</si>
  <si>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</si>
  <si>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</si>
  <si>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</si>
  <si>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</si>
  <si>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</si>
  <si>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</si>
  <si>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</si>
  <si>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</si>
  <si>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</si>
  <si>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</si>
  <si>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</si>
  <si>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</si>
  <si>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</si>
  <si>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</si>
  <si>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</si>
  <si>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</si>
  <si>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</si>
  <si>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</si>
  <si>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</si>
  <si>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</si>
  <si>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</si>
  <si>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</si>
  <si>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</si>
  <si>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</si>
  <si>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</si>
  <si>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</si>
  <si>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</si>
  <si>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</si>
  <si>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</si>
  <si>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</si>
  <si>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</si>
  <si>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</si>
  <si>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</si>
  <si>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</si>
  <si>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</si>
  <si>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</si>
  <si>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</si>
  <si>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</si>
  <si>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</si>
  <si>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</si>
  <si>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</si>
  <si>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</si>
  <si>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</si>
  <si>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</si>
  <si>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</si>
  <si>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</si>
  <si>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</si>
  <si>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</si>
  <si>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</si>
  <si>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</si>
  <si>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</si>
  <si>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</si>
  <si>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</si>
  <si>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</si>
  <si>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</si>
  <si>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</si>
  <si>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</si>
  <si>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</si>
  <si>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</si>
  <si>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</si>
  <si>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</si>
  <si>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</si>
  <si>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</si>
  <si>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</si>
  <si>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</si>
  <si>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</si>
  <si>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</si>
  <si>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</si>
  <si>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</si>
  <si>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</si>
  <si>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</si>
  <si>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</si>
  <si>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</si>
  <si>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</si>
  <si>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</si>
  <si>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</si>
  <si>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</si>
  <si>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</si>
  <si>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</si>
  <si>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</si>
  <si>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</si>
  <si>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</si>
  <si>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</si>
  <si>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</si>
  <si>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</si>
  <si>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</si>
  <si>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</si>
  <si>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</si>
  <si>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</si>
  <si>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</si>
  <si>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</si>
  <si>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</si>
  <si>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</si>
  <si>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</si>
  <si>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</si>
  <si>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</si>
  <si>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</si>
  <si>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</si>
  <si>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</si>
  <si>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</si>
  <si>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</si>
  <si>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</si>
  <si>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</si>
  <si>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</si>
  <si>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</si>
  <si>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</si>
  <si>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</si>
  <si>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</si>
  <si>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</si>
  <si>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</si>
  <si>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</si>
  <si>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</si>
  <si>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</si>
  <si>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</si>
  <si>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</si>
  <si>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</si>
  <si>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</si>
  <si>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</si>
  <si>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</si>
  <si>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</si>
  <si>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</si>
  <si>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</si>
  <si>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</si>
  <si>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</si>
  <si>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</si>
  <si>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</si>
  <si>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</si>
  <si>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</si>
  <si>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</si>
  <si>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</si>
  <si>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</si>
  <si>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</si>
  <si>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</si>
  <si>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</si>
  <si>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</si>
  <si>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</si>
  <si>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</si>
  <si>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</si>
  <si>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</si>
  <si>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</si>
  <si>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</si>
  <si>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</si>
  <si>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</si>
  <si>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</si>
  <si>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</si>
  <si>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</si>
  <si>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</si>
  <si>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</si>
  <si>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</si>
  <si>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</si>
  <si>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</si>
  <si>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</si>
  <si>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</si>
  <si>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</si>
  <si>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</si>
  <si>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</si>
  <si>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</si>
  <si>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</si>
  <si>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</si>
  <si>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</si>
  <si>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</si>
  <si>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</si>
  <si>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</si>
  <si>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</si>
  <si>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</si>
  <si>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</si>
  <si>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</si>
  <si>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</si>
  <si>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</si>
  <si>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</si>
  <si>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</si>
  <si>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</si>
  <si>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</si>
  <si>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</si>
  <si>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</si>
  <si>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</si>
  <si>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</si>
  <si>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</si>
  <si>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</si>
  <si>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</si>
  <si>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</si>
  <si>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</si>
  <si>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</si>
  <si>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</si>
  <si>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</si>
  <si>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</si>
  <si>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</si>
  <si>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</si>
  <si>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</si>
  <si>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</si>
  <si>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</si>
  <si>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</si>
  <si>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</si>
  <si>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</si>
  <si>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</si>
  <si>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</si>
  <si>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</si>
  <si>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</si>
  <si>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</si>
  <si>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</si>
  <si>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</si>
  <si>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</si>
  <si>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</si>
  <si>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</si>
  <si>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</si>
  <si>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</si>
  <si>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</si>
  <si>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</si>
  <si>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</si>
  <si>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</si>
  <si>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</si>
  <si>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</si>
  <si>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</si>
  <si>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</si>
  <si>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</si>
  <si>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</si>
  <si>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</si>
  <si>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</si>
  <si>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</si>
  <si>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</si>
  <si>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</si>
  <si>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</si>
  <si>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</si>
  <si>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</si>
  <si>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</si>
  <si>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</si>
  <si>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</si>
  <si>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</si>
  <si>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</si>
  <si>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</si>
  <si>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</si>
  <si>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</si>
  <si>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</si>
  <si>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</si>
  <si>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</si>
  <si>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</si>
  <si>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</si>
  <si>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</si>
  <si>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</si>
  <si>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</si>
  <si>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</si>
  <si>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</si>
  <si>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</si>
  <si>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</si>
  <si>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</si>
  <si>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</si>
  <si>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</si>
  <si>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</si>
  <si>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</si>
  <si>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</si>
  <si>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</si>
  <si>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</si>
  <si>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</si>
  <si>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</si>
  <si>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</si>
  <si>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</si>
  <si>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</si>
  <si>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</si>
  <si>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</si>
  <si>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</si>
  <si>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</si>
  <si>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</si>
  <si>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</si>
  <si>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</si>
  <si>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</si>
  <si>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</si>
  <si>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</si>
  <si>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</si>
  <si>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</si>
  <si>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</si>
  <si>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</si>
  <si>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</si>
  <si>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</si>
  <si>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</si>
  <si>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</si>
  <si>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</si>
  <si>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</si>
  <si>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</si>
  <si>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</si>
  <si>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</si>
  <si>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</si>
  <si>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</si>
  <si>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</si>
  <si>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</si>
  <si>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</si>
  <si>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</si>
  <si>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</si>
  <si>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</si>
  <si>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</si>
  <si>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</si>
  <si>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</si>
  <si>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</si>
  <si>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</si>
  <si>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</si>
  <si>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</si>
  <si>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</si>
  <si>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</si>
  <si>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</si>
  <si>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</si>
  <si>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</si>
  <si>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</si>
  <si>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</si>
  <si>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</si>
  <si>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</si>
  <si>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</si>
  <si>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</si>
  <si>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</si>
  <si>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</si>
  <si>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</si>
  <si>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</si>
  <si>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</si>
  <si>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</si>
  <si>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</si>
  <si>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</si>
  <si>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</si>
  <si>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</si>
  <si>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</si>
  <si>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</si>
  <si>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</si>
  <si>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</si>
  <si>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</si>
  <si>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</si>
  <si>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</si>
  <si>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</si>
  <si>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</si>
  <si>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</si>
  <si>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</si>
  <si>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</si>
  <si>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</si>
  <si>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</si>
  <si>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</si>
  <si>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</si>
  <si>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</si>
  <si>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</si>
  <si>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</si>
  <si>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</si>
  <si>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</si>
  <si>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</si>
  <si>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</si>
  <si>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</si>
  <si>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</si>
  <si>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</si>
  <si>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</si>
  <si>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</si>
  <si>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</si>
  <si>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</si>
  <si>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</si>
  <si>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</si>
  <si>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</si>
  <si>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</si>
  <si>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</si>
  <si>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</si>
  <si>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</si>
  <si>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</si>
  <si>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</si>
  <si>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</si>
  <si>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</si>
  <si>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</si>
  <si>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</si>
  <si>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</si>
  <si>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</si>
  <si>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</si>
  <si>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</si>
  <si>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</si>
  <si>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</si>
  <si>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</si>
  <si>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</si>
  <si>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</si>
  <si>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</si>
  <si>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</si>
  <si>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</si>
  <si>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</si>
  <si>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</si>
  <si>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</si>
  <si>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</si>
  <si>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</si>
  <si>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</si>
  <si>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</si>
  <si>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</si>
  <si>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</si>
  <si>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</si>
  <si>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</si>
  <si>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</si>
  <si>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</si>
  <si>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</si>
  <si>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</si>
  <si>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</si>
  <si>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</si>
  <si>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</si>
  <si>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</si>
  <si>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</si>
  <si>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</si>
  <si>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</si>
  <si>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</si>
  <si>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</si>
  <si>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</si>
  <si>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</si>
  <si>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</si>
  <si>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</si>
  <si>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</si>
  <si>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</si>
  <si>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</si>
  <si>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</si>
  <si>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</si>
  <si>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</si>
  <si>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</si>
  <si>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</si>
  <si>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</si>
  <si>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</si>
  <si>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</si>
  <si>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</si>
  <si>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</si>
  <si>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</si>
  <si>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</si>
  <si>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</si>
  <si>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</si>
  <si>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</si>
  <si>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</si>
  <si>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</si>
  <si>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</si>
  <si>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</si>
  <si>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</si>
  <si>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</si>
  <si>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</si>
  <si>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</si>
  <si>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</si>
  <si>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</si>
  <si>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</si>
  <si>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</si>
  <si>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</si>
  <si>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</si>
  <si>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</si>
  <si>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</si>
  <si>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</si>
  <si>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</si>
  <si>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</si>
  <si>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</si>
  <si>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</si>
  <si>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</si>
  <si>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</si>
  <si>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</si>
  <si>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</si>
  <si>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</si>
  <si>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</si>
  <si>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</si>
  <si>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</si>
  <si>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</si>
  <si>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</si>
  <si>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</si>
  <si>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</si>
  <si>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</si>
  <si>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</si>
  <si>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</si>
  <si>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</si>
  <si>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</si>
  <si>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</si>
  <si>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</si>
  <si>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</si>
  <si>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</si>
  <si>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</si>
  <si>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</si>
  <si>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</si>
  <si>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</si>
  <si>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</si>
  <si>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</si>
  <si>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</si>
  <si>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</si>
  <si>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</si>
  <si>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</si>
  <si>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</si>
  <si>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</si>
  <si>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</si>
  <si>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</si>
  <si>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</si>
  <si>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</si>
  <si>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</si>
  <si>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</si>
  <si>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</si>
  <si>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</si>
  <si>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</si>
  <si>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</si>
  <si>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</si>
  <si>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</si>
  <si>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</si>
  <si>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</si>
  <si>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</si>
  <si>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</si>
  <si>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</si>
  <si>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</si>
  <si>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</si>
  <si>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</si>
  <si>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</si>
  <si>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</si>
  <si>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</si>
  <si>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</si>
  <si>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</si>
  <si>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</si>
  <si>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</si>
  <si>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</si>
  <si>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</si>
  <si>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</si>
  <si>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</si>
  <si>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</si>
  <si>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</si>
  <si>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</si>
  <si>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</si>
  <si>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</si>
  <si>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</si>
  <si>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</si>
  <si>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</si>
  <si>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</si>
  <si>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</si>
  <si>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</si>
  <si>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</si>
  <si>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</si>
  <si>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</si>
  <si>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</si>
  <si>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</si>
  <si>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</si>
  <si>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</si>
  <si>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</si>
  <si>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</si>
  <si>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</si>
  <si>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</si>
  <si>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</si>
  <si>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</si>
  <si>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</si>
  <si>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</si>
  <si>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</si>
  <si>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</si>
  <si>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</si>
  <si>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</si>
  <si>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</si>
  <si>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</si>
  <si>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</si>
  <si>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</si>
  <si>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</si>
  <si>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</si>
  <si>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</si>
  <si>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</si>
  <si>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</si>
  <si>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</si>
  <si>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</si>
  <si>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</si>
  <si>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</si>
  <si>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</si>
  <si>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</si>
  <si>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</si>
  <si>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</si>
  <si>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</si>
  <si>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</si>
  <si>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</si>
  <si>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</si>
  <si>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</si>
  <si>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</si>
  <si>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</si>
  <si>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</si>
  <si>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</si>
  <si>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</si>
  <si>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</si>
  <si>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</si>
  <si>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</si>
  <si>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</si>
  <si>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</si>
  <si>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</si>
  <si>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</si>
  <si>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</si>
  <si>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</si>
  <si>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</si>
  <si>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</si>
  <si>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</si>
  <si>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</si>
  <si>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</si>
  <si>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</si>
  <si>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</si>
  <si>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</si>
  <si>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</si>
  <si>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</si>
  <si>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</si>
  <si>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</si>
  <si>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</si>
  <si>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</si>
  <si>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</si>
  <si>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</si>
  <si>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</si>
  <si>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</si>
  <si>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</si>
  <si>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</si>
  <si>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</si>
  <si>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</si>
  <si>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</si>
  <si>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</si>
  <si>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</si>
  <si>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</si>
  <si>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</si>
  <si>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</si>
  <si>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</si>
  <si>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</si>
  <si>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</si>
  <si>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</si>
  <si>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</si>
  <si>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</si>
  <si>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</si>
  <si>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</si>
  <si>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</si>
  <si>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</si>
  <si>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</si>
  <si>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</si>
  <si>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</si>
  <si>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</si>
  <si>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</si>
  <si>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</si>
  <si>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</si>
  <si>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</si>
  <si>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</si>
  <si>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</si>
  <si>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</si>
  <si>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</si>
  <si>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</si>
  <si>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</si>
  <si>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</si>
  <si>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</si>
  <si>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</si>
  <si>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</si>
  <si>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</si>
  <si>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</si>
  <si>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</si>
  <si>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</si>
  <si>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</si>
  <si>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</si>
  <si>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</si>
  <si>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</si>
  <si>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</si>
  <si>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</si>
  <si>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</si>
  <si>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</si>
  <si>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</si>
  <si>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</si>
  <si>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</si>
  <si>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</si>
  <si>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</si>
  <si>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</si>
  <si>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</si>
  <si>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</si>
  <si>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</si>
  <si>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</si>
  <si>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</si>
  <si>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</si>
  <si>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</si>
  <si>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</si>
  <si>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</si>
  <si>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</si>
  <si>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</si>
  <si>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</si>
  <si>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</si>
  <si>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</si>
  <si>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</si>
  <si>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</si>
  <si>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</si>
  <si>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</si>
  <si>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</si>
  <si>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</si>
  <si>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</si>
  <si>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</si>
  <si>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</si>
  <si>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</si>
  <si>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</si>
  <si>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</si>
  <si>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</si>
  <si>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</si>
  <si>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</si>
  <si>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</si>
  <si>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</si>
  <si>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</si>
  <si>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</si>
  <si>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</si>
  <si>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</si>
  <si>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</si>
  <si>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</si>
  <si>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</si>
  <si>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</si>
  <si>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</si>
  <si>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</si>
  <si>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</si>
  <si>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</si>
  <si>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</si>
  <si>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</si>
  <si>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</si>
  <si>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</si>
  <si>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</si>
  <si>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</si>
  <si>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</si>
  <si>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</si>
  <si>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</si>
  <si>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</si>
  <si>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</si>
  <si>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</si>
  <si>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</si>
  <si>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</si>
  <si>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</si>
  <si>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</si>
  <si>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</si>
  <si>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</si>
  <si>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</si>
  <si>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</si>
  <si>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</si>
  <si>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</si>
  <si>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</si>
  <si>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</si>
  <si>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</si>
  <si>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</si>
  <si>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</si>
  <si>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</si>
  <si>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</si>
  <si>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</si>
  <si>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</si>
  <si>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</si>
  <si>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</si>
  <si>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</si>
  <si>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</si>
  <si>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</si>
  <si>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</si>
  <si>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</si>
  <si>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</si>
  <si>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</si>
  <si>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</si>
  <si>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</si>
  <si>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</si>
  <si>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</si>
  <si>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</si>
  <si>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</si>
  <si>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</si>
  <si>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</si>
  <si>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</si>
  <si>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</si>
  <si>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</si>
  <si>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</si>
  <si>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</si>
  <si>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</si>
  <si>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</si>
  <si>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</si>
  <si>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</si>
  <si>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</si>
  <si>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</si>
  <si>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</si>
  <si>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</si>
  <si>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</si>
  <si>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</si>
  <si>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</si>
  <si>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</si>
  <si>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</si>
  <si>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</si>
  <si>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</si>
  <si>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</si>
  <si>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</si>
  <si>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</si>
  <si>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</si>
  <si>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</si>
  <si>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</si>
  <si>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</si>
  <si>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</si>
  <si>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</si>
  <si>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</si>
  <si>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</si>
  <si>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</si>
  <si>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</si>
  <si>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</si>
  <si>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</si>
  <si>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</si>
  <si>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</si>
  <si>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</si>
  <si>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</si>
  <si>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</si>
  <si>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</si>
  <si>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</si>
  <si>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</si>
  <si>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</si>
  <si>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</si>
  <si>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</si>
  <si>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</si>
  <si>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</si>
  <si>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</si>
  <si>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</si>
  <si>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</si>
  <si>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</si>
  <si>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</si>
  <si>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</si>
  <si>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</si>
  <si>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</si>
  <si>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</si>
  <si>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</si>
  <si>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</si>
  <si>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</si>
  <si>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</si>
  <si>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</si>
  <si>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</si>
  <si>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</si>
  <si>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</si>
  <si>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</si>
  <si>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</si>
  <si>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</si>
  <si>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</si>
  <si>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</si>
  <si>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</si>
  <si>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</si>
  <si>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</si>
  <si>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</si>
  <si>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</si>
  <si>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</si>
  <si>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</si>
  <si>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</si>
  <si>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</si>
  <si>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</si>
  <si>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</si>
  <si>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</si>
  <si>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</si>
  <si>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</si>
  <si>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</si>
  <si>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</si>
  <si>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</si>
  <si>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</si>
  <si>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</si>
  <si>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</si>
  <si>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</si>
  <si>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</si>
  <si>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</si>
  <si>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</si>
  <si>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</si>
  <si>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</si>
  <si>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</si>
  <si>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</si>
  <si>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</si>
  <si>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</si>
  <si>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</si>
  <si>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</si>
  <si>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</si>
  <si>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</si>
  <si>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</si>
  <si>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</si>
  <si>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</si>
  <si>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</si>
  <si>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</si>
  <si>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</si>
  <si>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</si>
  <si>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</si>
  <si>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</si>
  <si>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</si>
  <si>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</si>
  <si>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</si>
  <si>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</si>
  <si>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</si>
  <si>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</si>
  <si>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</si>
  <si>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</si>
  <si>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</si>
  <si>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</si>
  <si>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</si>
  <si>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</si>
  <si>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</si>
  <si>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</si>
  <si>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</si>
  <si>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</si>
  <si>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</si>
  <si>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</si>
  <si>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</si>
  <si>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</si>
  <si>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</si>
  <si>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</si>
  <si>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</si>
  <si>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</si>
  <si>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</si>
  <si>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</si>
  <si>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</si>
  <si>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</si>
  <si>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</si>
  <si>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</si>
  <si>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</si>
  <si>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</si>
  <si>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</si>
  <si>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</si>
  <si>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</si>
  <si>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</si>
  <si>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</si>
  <si>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</si>
  <si>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</si>
  <si>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</si>
  <si>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</si>
  <si>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</si>
  <si>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</si>
  <si>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</si>
  <si>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</si>
  <si>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</si>
  <si>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</si>
  <si>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</si>
  <si>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</si>
  <si>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</si>
  <si>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</si>
  <si>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</si>
  <si>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</si>
  <si>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</si>
  <si>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</si>
  <si>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</si>
  <si>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</si>
  <si>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</si>
  <si>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</si>
  <si>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</si>
  <si>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</si>
  <si>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</si>
  <si>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</si>
  <si>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</si>
  <si>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</si>
  <si>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</si>
  <si>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</si>
  <si>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</si>
  <si>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</si>
  <si>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</si>
  <si>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</si>
  <si>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</si>
  <si>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</si>
  <si>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</si>
  <si>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</si>
  <si>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</si>
  <si>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</si>
  <si>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</si>
  <si>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</si>
  <si>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</si>
  <si>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</si>
  <si>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</si>
  <si>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</si>
  <si>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</si>
  <si>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</si>
  <si>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</si>
  <si>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</si>
  <si>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</si>
  <si>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</si>
  <si>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</si>
  <si>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</si>
  <si>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</si>
  <si>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</si>
  <si>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</si>
  <si>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</si>
  <si>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</si>
  <si>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</si>
  <si>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</si>
  <si>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</si>
  <si>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</si>
  <si>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</si>
  <si>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</si>
  <si>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</si>
  <si>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</si>
  <si>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</si>
  <si>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</si>
  <si>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</si>
  <si>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</si>
  <si>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</si>
  <si>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</si>
  <si>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</si>
  <si>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</si>
  <si>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</si>
  <si>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</si>
  <si>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</si>
  <si>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</si>
  <si>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</si>
  <si>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</si>
  <si>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</si>
  <si>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</si>
  <si>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</si>
  <si>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</si>
  <si>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</si>
  <si>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</si>
  <si>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</si>
  <si>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</si>
  <si>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</si>
  <si>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</si>
  <si>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</si>
  <si>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</si>
  <si>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</si>
  <si>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</si>
  <si>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</si>
  <si>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</si>
  <si>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</si>
  <si>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</si>
  <si>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</si>
  <si>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</si>
  <si>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</si>
  <si>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</si>
  <si>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</si>
  <si>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</si>
  <si>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</si>
  <si>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</si>
  <si>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</si>
  <si>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</si>
  <si>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</si>
  <si>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</si>
  <si>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</si>
  <si>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</si>
  <si>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</si>
  <si>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</si>
  <si>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</si>
  <si>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</si>
  <si>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</si>
  <si>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</si>
  <si>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</si>
  <si>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</si>
  <si>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</si>
  <si>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</si>
  <si>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</si>
  <si>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</si>
  <si>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</si>
  <si>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</si>
  <si>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</si>
  <si>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</si>
  <si>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</si>
  <si>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</si>
  <si>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</si>
  <si>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</si>
  <si>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</si>
  <si>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</si>
  <si>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</si>
  <si>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</si>
  <si>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</si>
  <si>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</si>
  <si>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</si>
  <si>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</si>
  <si>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</si>
  <si>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</si>
  <si>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</si>
  <si>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</si>
  <si>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</si>
  <si>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</si>
  <si>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</si>
  <si>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</si>
  <si>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</si>
  <si>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</si>
  <si>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</si>
  <si>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</si>
  <si>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</si>
  <si>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</si>
  <si>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</si>
  <si>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</si>
  <si>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</si>
  <si>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</si>
  <si>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</si>
  <si>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</si>
  <si>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</si>
  <si>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</si>
  <si>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</si>
  <si>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</si>
  <si>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</si>
  <si>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</si>
  <si>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</si>
  <si>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</si>
  <si>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</si>
  <si>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</si>
  <si>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</si>
  <si>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</si>
  <si>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</si>
  <si>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</si>
  <si>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</si>
  <si>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</si>
  <si>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</si>
  <si>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</si>
  <si>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</si>
  <si>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</si>
  <si>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</si>
  <si>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</si>
  <si>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</si>
  <si>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</si>
  <si>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</si>
  <si>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</si>
  <si>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</si>
  <si>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</si>
  <si>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</si>
  <si>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</si>
  <si>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</si>
  <si>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</si>
  <si>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</si>
  <si>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</si>
  <si>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</si>
  <si>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</si>
  <si>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</si>
  <si>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</si>
  <si>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</si>
  <si>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</si>
  <si>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</si>
  <si>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</si>
  <si>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</si>
  <si>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</si>
  <si>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</si>
  <si>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</si>
  <si>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</si>
  <si>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</si>
  <si>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</si>
  <si>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</si>
  <si>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</si>
  <si>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</si>
  <si>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</si>
  <si>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</si>
  <si>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</si>
  <si>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</si>
  <si>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</si>
  <si>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</si>
  <si>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</si>
  <si>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</si>
  <si>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</si>
  <si>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</si>
  <si>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</si>
  <si>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</si>
  <si>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</si>
  <si>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</si>
  <si>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</si>
  <si>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</si>
  <si>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</si>
  <si>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</si>
  <si>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</si>
  <si>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</si>
  <si>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</si>
  <si>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</si>
  <si>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</si>
  <si>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</si>
  <si>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</si>
  <si>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</si>
  <si>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</si>
  <si>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</si>
  <si>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</si>
  <si>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</si>
  <si>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</si>
  <si>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</si>
  <si>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</si>
  <si>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</si>
  <si>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</si>
  <si>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</si>
  <si>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</si>
  <si>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</si>
  <si>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</si>
  <si>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</si>
  <si>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</si>
  <si>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</si>
  <si>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</si>
  <si>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</si>
  <si>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</si>
  <si>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</si>
  <si>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</si>
  <si>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</si>
  <si>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</si>
  <si>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</si>
  <si>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</si>
  <si>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</si>
  <si>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</si>
  <si>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</si>
  <si>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</si>
  <si>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</si>
  <si>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</si>
  <si>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</si>
  <si>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</si>
  <si>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</si>
  <si>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</si>
  <si>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</si>
  <si>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</si>
  <si>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</si>
  <si>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</si>
  <si>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</si>
  <si>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</si>
  <si>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</si>
  <si>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</si>
  <si>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</si>
  <si>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</si>
  <si>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</si>
  <si>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</si>
  <si>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</si>
  <si>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</si>
  <si>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</si>
  <si>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</si>
  <si>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</si>
  <si>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</si>
  <si>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</si>
  <si>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</si>
  <si>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</si>
  <si>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</si>
  <si>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</si>
  <si>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</si>
  <si>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</si>
  <si>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</si>
  <si>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</si>
  <si>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</si>
  <si>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</si>
  <si>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</si>
  <si>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</si>
  <si>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</si>
  <si>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</si>
  <si>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</si>
  <si>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</si>
  <si>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</si>
  <si>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</si>
  <si>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</si>
  <si>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</si>
  <si>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</si>
  <si>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</si>
  <si>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</si>
  <si>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</si>
  <si>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</si>
  <si>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</si>
  <si>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</si>
  <si>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</si>
  <si>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</si>
  <si>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</si>
  <si>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</si>
  <si>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</si>
  <si>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</si>
  <si>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</si>
  <si>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</si>
  <si>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</si>
  <si>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</si>
  <si>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</si>
  <si>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</si>
  <si>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</si>
  <si>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</si>
  <si>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</si>
  <si>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</si>
  <si>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</si>
  <si>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</si>
  <si>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</si>
  <si>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</si>
  <si>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</si>
  <si>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</si>
  <si>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</si>
  <si>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</si>
  <si>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</si>
  <si>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</si>
  <si>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</si>
  <si>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</si>
  <si>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</si>
  <si>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</si>
  <si>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</si>
  <si>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</si>
  <si>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</si>
  <si>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</si>
  <si>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</si>
  <si>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</si>
  <si>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</si>
  <si>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</si>
  <si>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</si>
  <si>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</si>
  <si>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</si>
  <si>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</si>
  <si>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</si>
  <si>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</si>
  <si>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</si>
  <si>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</si>
  <si>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</si>
  <si>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</si>
  <si>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</si>
  <si>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</si>
  <si>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</si>
  <si>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</si>
  <si>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</si>
  <si>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</si>
  <si>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</si>
  <si>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</si>
  <si>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</si>
  <si>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</si>
  <si>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</si>
  <si>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</si>
  <si>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</si>
  <si>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</si>
  <si>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</si>
  <si>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</si>
  <si>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</si>
  <si>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</si>
  <si>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</si>
  <si>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</si>
  <si>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</si>
  <si>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</si>
  <si>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</si>
  <si>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</si>
  <si>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</si>
  <si>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</si>
  <si>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</si>
  <si>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</si>
  <si>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</si>
  <si>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</si>
  <si>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</si>
  <si>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</si>
  <si>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</si>
  <si>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</si>
  <si>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</si>
  <si>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</si>
  <si>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</si>
  <si>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</si>
  <si>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</si>
  <si>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</si>
  <si>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</si>
  <si>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</si>
  <si>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</si>
  <si>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</si>
  <si>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</si>
  <si>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</si>
  <si>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</si>
  <si>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</si>
  <si>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</si>
  <si>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</si>
  <si>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</si>
  <si>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</si>
  <si>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</si>
  <si>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</si>
  <si>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</si>
  <si>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</si>
  <si>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</si>
  <si>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</si>
  <si>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</si>
  <si>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</si>
  <si>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</si>
  <si>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</si>
  <si>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</si>
  <si>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</si>
  <si>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</si>
  <si>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</si>
  <si>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</si>
  <si>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</si>
  <si>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</si>
  <si>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</si>
  <si>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</si>
  <si>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</si>
  <si>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</si>
  <si>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</si>
  <si>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</si>
  <si>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</si>
  <si>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</si>
  <si>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</si>
  <si>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</si>
  <si>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</si>
  <si>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</si>
  <si>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</si>
  <si>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</si>
  <si>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</si>
  <si>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</si>
  <si>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</si>
  <si>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</si>
  <si>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</si>
  <si>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</si>
  <si>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</si>
  <si>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</si>
  <si>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</si>
  <si>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</si>
  <si>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</si>
  <si>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</si>
  <si>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</si>
  <si>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</si>
  <si>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</si>
  <si>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</si>
  <si>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</si>
  <si>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</si>
  <si>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</si>
  <si>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</si>
  <si>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</si>
  <si>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</si>
  <si>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</si>
  <si>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</si>
  <si>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</si>
  <si>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</si>
  <si>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</si>
  <si>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</si>
  <si>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</si>
  <si>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</si>
  <si>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</si>
  <si>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</si>
  <si>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</si>
  <si>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</si>
  <si>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</si>
  <si>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</si>
  <si>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</si>
  <si>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</si>
  <si>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</si>
  <si>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</si>
  <si>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</si>
  <si>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</si>
  <si>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</si>
  <si>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</si>
  <si>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</si>
  <si>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</si>
  <si>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</si>
  <si>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</si>
  <si>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</si>
  <si>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</si>
  <si>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</si>
  <si>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</si>
  <si>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</si>
  <si>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</si>
  <si>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</si>
  <si>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</si>
  <si>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</si>
  <si>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</si>
  <si>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</si>
  <si>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</si>
  <si>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</si>
  <si>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</si>
  <si>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</si>
  <si>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</si>
  <si>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</si>
  <si>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</si>
  <si>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</si>
  <si>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</si>
  <si>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</si>
  <si>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</si>
  <si>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</si>
  <si>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</si>
  <si>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</si>
  <si>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</si>
  <si>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</si>
  <si>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</si>
  <si>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</si>
  <si>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</si>
  <si>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</si>
  <si>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</si>
  <si>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</si>
  <si>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</si>
  <si>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</si>
  <si>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</si>
  <si>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</si>
  <si>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</si>
  <si>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</si>
  <si>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</si>
  <si>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</si>
  <si>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</si>
  <si>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</si>
  <si>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</si>
  <si>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</si>
  <si>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</si>
  <si>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</si>
  <si>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</si>
  <si>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</si>
  <si>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</si>
  <si>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</si>
  <si>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</si>
  <si>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</si>
  <si>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</si>
  <si>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</si>
  <si>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</si>
  <si>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</si>
  <si>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</si>
  <si>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</si>
  <si>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</si>
  <si>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</si>
  <si>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</si>
  <si>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</si>
  <si>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</si>
  <si>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</si>
  <si>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</si>
  <si>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</si>
  <si>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</si>
  <si>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</si>
  <si>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</si>
  <si>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</si>
  <si>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</si>
  <si>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</si>
  <si>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</si>
  <si>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</si>
  <si>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</si>
  <si>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</si>
  <si>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</si>
  <si>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</si>
  <si>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</si>
  <si>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</si>
  <si>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</si>
  <si>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</si>
  <si>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</si>
  <si>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</si>
  <si>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</si>
  <si>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</si>
  <si>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</si>
  <si>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</si>
  <si>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</si>
  <si>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</si>
  <si>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</si>
  <si>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</si>
  <si>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</si>
  <si>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</si>
  <si>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</si>
  <si>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</si>
  <si>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</si>
  <si>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</si>
  <si>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</si>
  <si>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</si>
  <si>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</si>
  <si>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</si>
  <si>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</si>
  <si>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</si>
  <si>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</si>
  <si>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</si>
  <si>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</si>
  <si>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</si>
  <si>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</si>
  <si>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</si>
  <si>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</si>
  <si>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</si>
  <si>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</si>
  <si>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</si>
  <si>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</si>
  <si>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</si>
  <si>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</si>
  <si>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</si>
  <si>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</si>
  <si>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</si>
  <si>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</si>
  <si>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</si>
  <si>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</si>
  <si>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</si>
  <si>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</si>
  <si>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</si>
  <si>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</si>
  <si>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</si>
  <si>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</si>
  <si>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</si>
  <si>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</si>
  <si>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</si>
  <si>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</si>
  <si>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</si>
  <si>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</si>
  <si>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</si>
  <si>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</si>
  <si>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</si>
  <si>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</si>
  <si>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</si>
  <si>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</si>
  <si>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</si>
  <si>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</si>
  <si>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</si>
  <si>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</si>
  <si>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</si>
  <si>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</si>
  <si>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</si>
  <si>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</si>
  <si>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</si>
  <si>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</si>
  <si>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</si>
  <si>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</si>
  <si>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</si>
  <si>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</si>
  <si>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</si>
  <si>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</si>
  <si>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</si>
  <si>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</si>
  <si>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</si>
  <si>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</si>
  <si>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</si>
  <si>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</si>
  <si>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</si>
  <si>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</si>
  <si>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</si>
  <si>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</si>
  <si>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</si>
  <si>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</si>
  <si>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</si>
  <si>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</si>
  <si>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</si>
  <si>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</si>
  <si>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</si>
  <si>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</si>
  <si>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</si>
  <si>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</si>
  <si>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</si>
  <si>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</si>
  <si>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</si>
  <si>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</si>
  <si>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</si>
  <si>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</si>
  <si>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</si>
  <si>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</si>
  <si>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</si>
  <si>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</si>
  <si>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</si>
  <si>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</si>
  <si>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</si>
  <si>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</si>
  <si>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</si>
  <si>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</si>
  <si>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</si>
  <si>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</si>
  <si>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</si>
  <si>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</si>
  <si>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</si>
  <si>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</si>
  <si>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</si>
  <si>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</si>
  <si>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</si>
  <si>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</si>
  <si>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</si>
  <si>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</si>
  <si>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</si>
  <si>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</si>
  <si>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</si>
  <si>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</si>
  <si>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</si>
  <si>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</si>
  <si>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</si>
  <si>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</si>
  <si>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</si>
  <si>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</si>
  <si>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</si>
  <si>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</si>
  <si>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</si>
  <si>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</si>
  <si>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</si>
  <si>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</si>
  <si>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</si>
  <si>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</si>
  <si>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</si>
  <si>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</si>
  <si>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</si>
  <si>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</si>
  <si>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</si>
  <si>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</si>
  <si>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</si>
  <si>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</si>
  <si>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</si>
  <si>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</si>
  <si>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</si>
  <si>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</si>
  <si>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</si>
  <si>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</si>
  <si>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</si>
  <si>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</si>
  <si>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</si>
  <si>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</si>
  <si>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</si>
  <si>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</si>
  <si>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</si>
  <si>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</si>
  <si>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</si>
  <si>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</si>
  <si>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</si>
  <si>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</si>
  <si>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</si>
  <si>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</si>
  <si>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</si>
  <si>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</si>
  <si>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</si>
  <si>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</si>
  <si>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</si>
  <si>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</si>
  <si>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</si>
  <si>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</si>
  <si>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</si>
  <si>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</si>
  <si>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</si>
  <si>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</si>
  <si>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</si>
  <si>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</si>
  <si>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</si>
  <si>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</si>
  <si>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</si>
  <si>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</si>
  <si>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</si>
  <si>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</si>
  <si>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</si>
  <si>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</si>
  <si>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</si>
  <si>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</si>
  <si>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</si>
  <si>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</si>
  <si>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</si>
  <si>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</si>
  <si>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</si>
  <si>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</si>
  <si>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</si>
  <si>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</si>
  <si>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</si>
  <si>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</si>
  <si>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</si>
  <si>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</si>
  <si>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</si>
  <si>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</si>
  <si>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</si>
  <si>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</si>
  <si>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</si>
  <si>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</si>
  <si>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</si>
  <si>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</si>
  <si>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</si>
  <si>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</si>
  <si>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</si>
  <si>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</si>
  <si>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</si>
  <si>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</si>
  <si>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</si>
  <si>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</si>
  <si>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</si>
  <si>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</si>
  <si>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</si>
  <si>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</si>
  <si>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</si>
  <si>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</si>
  <si>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</si>
  <si>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</si>
  <si>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</si>
  <si>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</si>
  <si>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</si>
  <si>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</si>
  <si>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</si>
  <si>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</si>
  <si>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</si>
  <si>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</si>
  <si>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</si>
  <si>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</si>
  <si>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</si>
  <si>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</si>
  <si>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</si>
  <si>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</si>
  <si>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</si>
  <si>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</si>
  <si>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</si>
  <si>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</si>
  <si>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</si>
  <si>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</si>
  <si>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</si>
  <si>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</si>
  <si>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</si>
  <si>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</si>
  <si>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</si>
  <si>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</si>
  <si>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</si>
  <si>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</si>
  <si>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</si>
  <si>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</si>
  <si>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</si>
  <si>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</si>
  <si>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</si>
  <si>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</si>
  <si>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</si>
  <si>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</si>
  <si>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</si>
  <si>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</si>
  <si>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</si>
  <si>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</si>
  <si>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</si>
  <si>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</si>
  <si>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</si>
  <si>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</si>
  <si>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</si>
  <si>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</si>
  <si>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</si>
  <si>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</si>
  <si>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</si>
  <si>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</si>
  <si>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</si>
  <si>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</si>
  <si>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</si>
  <si>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</si>
  <si>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</si>
  <si>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</si>
  <si>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</si>
  <si>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</si>
  <si>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</si>
  <si>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</si>
  <si>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</si>
  <si>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</si>
  <si>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</si>
  <si>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</si>
  <si>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</si>
  <si>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</si>
  <si>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</si>
  <si>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</si>
  <si>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</si>
  <si>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</si>
  <si>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</si>
  <si>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</si>
  <si>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</si>
  <si>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</si>
  <si>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</si>
  <si>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</si>
  <si>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</si>
  <si>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</si>
  <si>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</si>
  <si>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</si>
  <si>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</si>
  <si>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</si>
  <si>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</si>
  <si>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</si>
  <si>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</si>
  <si>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</si>
  <si>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</si>
  <si>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</si>
  <si>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</si>
  <si>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</si>
  <si>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</si>
  <si>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</si>
  <si>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</si>
  <si>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</si>
  <si>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</si>
  <si>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</si>
  <si>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</si>
  <si>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</si>
  <si>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</si>
  <si>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</si>
  <si>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</si>
  <si>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</si>
  <si>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</si>
  <si>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</si>
  <si>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</si>
  <si>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</si>
  <si>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</si>
  <si>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</si>
  <si>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</si>
  <si>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</si>
  <si>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</si>
  <si>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</si>
  <si>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</si>
  <si>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</si>
  <si>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</si>
  <si>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</si>
  <si>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</si>
  <si>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</si>
  <si>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</si>
  <si>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</si>
  <si>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</si>
  <si>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</si>
  <si>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</si>
  <si>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</si>
  <si>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</si>
  <si>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</si>
  <si>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</si>
  <si>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</si>
  <si>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</si>
  <si>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</si>
  <si>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</si>
  <si>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</si>
  <si>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</si>
  <si>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</si>
  <si>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</si>
  <si>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</si>
  <si>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</si>
  <si>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</si>
  <si>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</si>
  <si>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</si>
  <si>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</si>
  <si>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</si>
  <si>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</si>
  <si>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</si>
  <si>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</si>
  <si>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</si>
  <si>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</si>
  <si>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</si>
  <si>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</si>
  <si>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</si>
  <si>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</si>
  <si>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</si>
  <si>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</si>
  <si>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</si>
  <si>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</si>
  <si>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</si>
  <si>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</si>
  <si>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</si>
  <si>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</si>
  <si>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</si>
  <si>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</si>
  <si>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</si>
  <si>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</si>
  <si>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</si>
  <si>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</si>
  <si>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</si>
  <si>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</si>
  <si>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</si>
  <si>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</si>
  <si>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</si>
  <si>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</si>
  <si>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</si>
  <si>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</si>
  <si>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</si>
  <si>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</si>
  <si>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</si>
  <si>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</si>
  <si>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</si>
  <si>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</si>
  <si>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</si>
  <si>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</si>
  <si>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</si>
  <si>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</si>
  <si>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</si>
  <si>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</si>
  <si>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</si>
  <si>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</si>
  <si>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</si>
  <si>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</si>
  <si>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</si>
  <si>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</si>
  <si>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</si>
  <si>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</si>
  <si>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</si>
  <si>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</si>
  <si>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</si>
  <si>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</si>
  <si>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</si>
  <si>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</si>
  <si>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</si>
  <si>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</si>
  <si>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</si>
  <si>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</si>
  <si>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</si>
  <si>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</si>
  <si>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</si>
  <si>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</si>
  <si>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</si>
  <si>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</si>
  <si>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</si>
  <si>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</si>
  <si>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</si>
  <si>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</si>
  <si>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</si>
  <si>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</si>
  <si>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</si>
  <si>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</si>
  <si>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</si>
  <si>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</si>
  <si>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</si>
  <si>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</si>
  <si>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</si>
  <si>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</si>
  <si>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</si>
  <si>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</si>
  <si>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</si>
  <si>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</si>
  <si>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</si>
  <si>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</si>
  <si>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</si>
  <si>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</si>
  <si>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</si>
  <si>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</si>
  <si>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</si>
  <si>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</si>
  <si>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</si>
  <si>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</si>
  <si>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</si>
  <si>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</si>
  <si>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</si>
  <si>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</si>
  <si>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</si>
  <si>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</si>
  <si>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</si>
  <si>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</si>
  <si>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</si>
  <si>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</si>
  <si>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</si>
  <si>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</si>
  <si>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</si>
  <si>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</si>
  <si>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</si>
  <si>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</si>
  <si>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</si>
  <si>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</si>
  <si>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</si>
  <si>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</si>
  <si>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</si>
  <si>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</si>
  <si>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</si>
  <si>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</si>
  <si>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</si>
  <si>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</si>
  <si>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</si>
  <si>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</si>
  <si>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</si>
  <si>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</si>
  <si>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</si>
  <si>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</si>
  <si>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</si>
  <si>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</si>
  <si>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</si>
  <si>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</si>
  <si>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</si>
  <si>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</si>
  <si>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</si>
  <si>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</si>
  <si>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</si>
  <si>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</si>
  <si>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</si>
  <si>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</si>
  <si>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</si>
  <si>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</si>
  <si>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</si>
  <si>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</si>
  <si>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</si>
  <si>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</si>
  <si>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</si>
  <si>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</si>
  <si>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</si>
  <si>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</si>
  <si>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</si>
  <si>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</si>
  <si>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</si>
  <si>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</si>
  <si>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</si>
  <si>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</si>
  <si>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</si>
  <si>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</si>
  <si>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</si>
  <si>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</si>
  <si>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</si>
  <si>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</si>
  <si>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</si>
  <si>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</si>
  <si>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</si>
  <si>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</si>
  <si>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</si>
  <si>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</si>
  <si>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</si>
  <si>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</si>
  <si>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</si>
  <si>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</si>
  <si>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</si>
  <si>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</si>
  <si>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</si>
  <si>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</si>
  <si>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</si>
  <si>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</si>
  <si>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</si>
  <si>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</si>
  <si>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</si>
  <si>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</si>
  <si>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</si>
  <si>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</si>
  <si>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</si>
  <si>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</si>
  <si>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</si>
  <si>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</si>
  <si>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</si>
  <si>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</si>
  <si>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</si>
  <si>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</si>
  <si>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</si>
  <si>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</si>
  <si>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</si>
  <si>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</si>
  <si>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</si>
  <si>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</si>
  <si>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</si>
  <si>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</si>
  <si>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</si>
  <si>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</si>
  <si>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</si>
  <si>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</si>
  <si>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</si>
  <si>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</si>
  <si>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</si>
  <si>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</si>
  <si>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</si>
  <si>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</si>
  <si>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</si>
  <si>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</si>
  <si>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</si>
  <si>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</si>
  <si>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</si>
  <si>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</si>
  <si>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</si>
  <si>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</si>
  <si>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</si>
  <si>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</si>
  <si>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</si>
  <si>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</si>
  <si>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</si>
  <si>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</si>
  <si>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</si>
  <si>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</si>
  <si>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</si>
  <si>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</si>
  <si>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</si>
  <si>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</si>
  <si>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</si>
  <si>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</si>
  <si>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</si>
  <si>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</si>
  <si>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</si>
  <si>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</si>
  <si>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</si>
  <si>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</si>
  <si>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</si>
  <si>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</si>
  <si>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</si>
  <si>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</si>
  <si>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</si>
  <si>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</si>
  <si>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</si>
  <si>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</si>
  <si>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</si>
  <si>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</si>
  <si>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</si>
  <si>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</si>
  <si>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</si>
  <si>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</si>
  <si>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</si>
  <si>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</si>
  <si>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</si>
  <si>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</si>
  <si>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</si>
  <si>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</si>
  <si>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</si>
  <si>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</si>
  <si>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</si>
  <si>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</si>
  <si>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</si>
  <si>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</si>
  <si>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</si>
  <si>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</si>
  <si>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</si>
  <si>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</si>
  <si>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</si>
  <si>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</si>
  <si>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</si>
  <si>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</si>
  <si>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</si>
  <si>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</si>
  <si>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</si>
  <si>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</si>
  <si>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</si>
  <si>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</si>
  <si>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</si>
  <si>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</si>
  <si>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</si>
  <si>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</si>
  <si>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</si>
  <si>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</si>
  <si>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</si>
  <si>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</si>
  <si>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</si>
  <si>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</si>
  <si>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</si>
  <si>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</si>
  <si>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</si>
  <si>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</si>
  <si>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</si>
  <si>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</si>
  <si>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</si>
  <si>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</si>
  <si>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</si>
  <si>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</si>
  <si>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</si>
  <si>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</si>
  <si>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</si>
  <si>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</si>
  <si>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</si>
  <si>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</si>
  <si>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</si>
  <si>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</si>
  <si>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</si>
  <si>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</si>
  <si>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</si>
  <si>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</si>
  <si>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</si>
  <si>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</si>
  <si>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</si>
  <si>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</si>
  <si>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</si>
  <si>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</si>
  <si>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</si>
  <si>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</si>
  <si>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</si>
  <si>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</si>
  <si>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</si>
  <si>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</si>
  <si>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</si>
  <si>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</si>
  <si>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</si>
  <si>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</si>
  <si>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</si>
  <si>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</si>
  <si>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</si>
  <si>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</si>
  <si>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</si>
  <si>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</si>
  <si>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</si>
  <si>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</si>
  <si>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</si>
  <si>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</si>
  <si>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</si>
  <si>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</si>
  <si>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</si>
  <si>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</si>
  <si>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</si>
  <si>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</si>
  <si>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</si>
  <si>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</si>
  <si>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</si>
  <si>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</si>
  <si>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</si>
  <si>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</si>
  <si>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</si>
  <si>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</si>
  <si>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</si>
  <si>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</si>
  <si>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</si>
  <si>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</si>
  <si>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</si>
  <si>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</si>
  <si>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</si>
  <si>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</si>
  <si>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</si>
  <si>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</si>
  <si>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</si>
  <si>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</si>
  <si>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</si>
  <si>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</si>
  <si>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</si>
  <si>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</si>
  <si>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</si>
  <si>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</si>
  <si>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</si>
  <si>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</si>
  <si>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</si>
  <si>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</si>
  <si>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</si>
  <si>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</si>
  <si>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</si>
  <si>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</si>
  <si>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</si>
  <si>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</si>
  <si>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</si>
  <si>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</si>
  <si>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</si>
  <si>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</si>
  <si>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</si>
  <si>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</si>
  <si>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</si>
  <si>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</si>
  <si>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</si>
  <si>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</si>
  <si>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</si>
  <si>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</si>
  <si>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</si>
  <si>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</si>
  <si>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</si>
  <si>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</si>
  <si>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</si>
  <si>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</si>
  <si>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</si>
  <si>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</si>
  <si>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</si>
  <si>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</si>
  <si>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</si>
  <si>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</si>
  <si>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</si>
  <si>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</si>
  <si>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</si>
  <si>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</si>
  <si>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</si>
  <si>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</si>
  <si>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</si>
  <si>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</si>
  <si>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</si>
  <si>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</si>
  <si>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</si>
  <si>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</si>
  <si>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</si>
  <si>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</si>
  <si>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</si>
  <si>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</si>
  <si>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</si>
  <si>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</si>
  <si>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</si>
  <si>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</si>
  <si>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</si>
  <si>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</si>
  <si>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</si>
  <si>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</si>
  <si>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</si>
  <si>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</si>
  <si>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</si>
  <si>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</si>
  <si>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</si>
  <si>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</si>
  <si>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</si>
  <si>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</si>
  <si>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</si>
  <si>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</si>
  <si>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</si>
  <si>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</si>
  <si>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</si>
  <si>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</si>
  <si>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</si>
  <si>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</si>
  <si>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</si>
  <si>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</si>
  <si>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</si>
  <si>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</si>
  <si>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</si>
  <si>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</si>
  <si>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</si>
  <si>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</si>
  <si>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</si>
  <si>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</si>
  <si>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</si>
  <si>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</si>
  <si>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</si>
  <si>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</si>
  <si>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</si>
  <si>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</si>
  <si>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</si>
  <si>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</si>
  <si>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</si>
  <si>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</si>
  <si>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</si>
  <si>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</si>
  <si>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</si>
  <si>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</si>
  <si>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</si>
  <si>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</si>
  <si>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</si>
  <si>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</si>
  <si>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</si>
  <si>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</si>
  <si>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</si>
  <si>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</si>
  <si>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</si>
  <si>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</si>
  <si>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</si>
  <si>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</si>
  <si>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</si>
  <si>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</si>
  <si>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</si>
  <si>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</si>
  <si>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</si>
  <si>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</si>
  <si>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</si>
  <si>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</si>
  <si>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</si>
  <si>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</si>
  <si>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</si>
  <si>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</si>
  <si>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</si>
  <si>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</si>
  <si>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</si>
  <si>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</si>
  <si>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</si>
  <si>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</si>
  <si>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</si>
  <si>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</si>
  <si>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</si>
  <si>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</si>
  <si>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</si>
  <si>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</si>
  <si>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</si>
  <si>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</si>
  <si>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</si>
  <si>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</si>
  <si>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</si>
  <si>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</si>
  <si>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</si>
  <si>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</si>
  <si>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</si>
  <si>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</si>
  <si>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</si>
  <si>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</si>
  <si>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</si>
  <si>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</si>
  <si>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</si>
  <si>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</si>
  <si>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</si>
  <si>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</si>
  <si>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</si>
  <si>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</si>
  <si>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</si>
  <si>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</si>
  <si>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</si>
  <si>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</si>
  <si>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</si>
  <si>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</si>
  <si>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</si>
  <si>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</si>
  <si>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</si>
  <si>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</si>
  <si>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</si>
  <si>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</si>
  <si>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</si>
  <si>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</si>
  <si>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</si>
  <si>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</si>
  <si>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</si>
  <si>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</si>
  <si>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</si>
  <si>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</si>
  <si>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</si>
  <si>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</si>
  <si>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</si>
  <si>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</si>
  <si>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</si>
  <si>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</si>
  <si>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</si>
  <si>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</si>
  <si>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</si>
  <si>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</si>
  <si>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</si>
  <si>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</si>
  <si>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</si>
  <si>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</si>
  <si>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</si>
  <si>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</si>
  <si>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</si>
  <si>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</si>
  <si>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</si>
  <si>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</si>
  <si>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</si>
  <si>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</si>
  <si>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</si>
  <si>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</si>
  <si>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</si>
  <si>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</si>
  <si>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</si>
  <si>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</si>
  <si>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</si>
  <si>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</si>
  <si>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</si>
  <si>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</si>
  <si>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</si>
  <si>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</si>
  <si>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</si>
  <si>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</si>
  <si>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</si>
  <si>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</si>
  <si>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</si>
  <si>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</si>
  <si>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</si>
  <si>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</si>
  <si>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</si>
  <si>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</si>
  <si>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</si>
  <si>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</si>
  <si>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</si>
  <si>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</si>
  <si>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</si>
  <si>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</si>
  <si>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</si>
  <si>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</si>
  <si>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</si>
  <si>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</si>
  <si>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</si>
  <si>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</si>
  <si>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</si>
  <si>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</si>
  <si>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</si>
  <si>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</si>
  <si>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</si>
  <si>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</si>
  <si>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</si>
  <si>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</si>
  <si>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</si>
  <si>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</si>
  <si>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</si>
  <si>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</si>
  <si>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</si>
  <si>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</si>
  <si>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</si>
  <si>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</si>
  <si>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</si>
  <si>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</si>
  <si>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</si>
  <si>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</si>
  <si>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</si>
  <si>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</si>
  <si>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</si>
  <si>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</si>
  <si>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</si>
  <si>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</si>
  <si>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</si>
  <si>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</si>
  <si>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</si>
  <si>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</si>
  <si>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</si>
  <si>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</si>
  <si>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</si>
  <si>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</si>
  <si>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</si>
  <si>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</si>
  <si>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</si>
  <si>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</si>
  <si>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</si>
  <si>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</si>
  <si>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</si>
  <si>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</si>
  <si>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</si>
  <si>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</si>
  <si>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</si>
  <si>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</si>
  <si>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</si>
  <si>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</si>
  <si>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</si>
  <si>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</si>
  <si>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</si>
  <si>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</si>
  <si>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</si>
  <si>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</si>
  <si>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</si>
  <si>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</si>
  <si>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</si>
  <si>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</si>
  <si>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</si>
  <si>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</si>
  <si>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</si>
  <si>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</si>
  <si>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</si>
  <si>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</si>
  <si>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</si>
  <si>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</si>
  <si>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</si>
  <si>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</si>
  <si>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</si>
  <si>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</si>
  <si>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</si>
  <si>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</si>
  <si>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</si>
  <si>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</si>
  <si>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</si>
  <si>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</si>
  <si>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</si>
  <si>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</si>
  <si>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</si>
  <si>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</si>
  <si>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</si>
  <si>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</si>
  <si>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</si>
  <si>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</si>
  <si>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</si>
  <si>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</si>
  <si>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</si>
  <si>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</si>
  <si>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</si>
  <si>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</si>
  <si>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</si>
  <si>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</si>
  <si>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</si>
  <si>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</si>
  <si>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</si>
  <si>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</si>
  <si>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</si>
  <si>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</si>
  <si>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</si>
  <si>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</si>
  <si>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</si>
  <si>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</si>
  <si>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</si>
  <si>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</si>
  <si>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</si>
  <si>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</si>
  <si>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</si>
  <si>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</si>
  <si>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</si>
  <si>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</si>
  <si>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</si>
  <si>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</si>
  <si>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</si>
  <si>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</si>
  <si>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</si>
  <si>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</si>
  <si>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</si>
  <si>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</si>
  <si>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</si>
  <si>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</si>
  <si>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</si>
  <si>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</si>
  <si>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</si>
  <si>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</si>
  <si>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</si>
  <si>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</si>
  <si>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</si>
  <si>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</si>
  <si>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</si>
  <si>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</si>
  <si>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</si>
  <si>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</si>
  <si>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</si>
  <si>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</si>
  <si>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</si>
  <si>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</si>
  <si>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</si>
  <si>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</si>
  <si>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</si>
  <si>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</si>
  <si>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</si>
  <si>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</si>
  <si>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</si>
  <si>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</si>
  <si>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</si>
  <si>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</si>
  <si>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</si>
  <si>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</si>
  <si>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</si>
  <si>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</si>
  <si>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</si>
  <si>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</si>
  <si>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</si>
  <si>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</si>
  <si>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</si>
  <si>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</si>
  <si>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</si>
  <si>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</si>
  <si>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</si>
  <si>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</si>
  <si>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</si>
  <si>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</si>
  <si>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</si>
  <si>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</si>
  <si>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</si>
  <si>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</si>
  <si>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</si>
  <si>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</si>
  <si>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</si>
  <si>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</si>
  <si>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</si>
  <si>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</si>
  <si>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</si>
  <si>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</si>
  <si>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</si>
  <si>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</si>
  <si>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</si>
  <si>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</si>
  <si>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</si>
  <si>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</si>
  <si>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</si>
  <si>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</si>
  <si>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</si>
  <si>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</si>
  <si>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</si>
  <si>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</si>
  <si>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</si>
  <si>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</si>
  <si>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</si>
  <si>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</si>
  <si>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</si>
  <si>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</si>
  <si>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</si>
  <si>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</si>
  <si>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</si>
  <si>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</si>
  <si>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</si>
  <si>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</si>
  <si>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</si>
  <si>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</si>
  <si>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</si>
  <si>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</si>
  <si>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</si>
  <si>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</si>
  <si>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</si>
  <si>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</si>
  <si>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</si>
  <si>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</si>
  <si>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</si>
  <si>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</si>
  <si>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</si>
  <si>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</si>
  <si>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</si>
  <si>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</si>
  <si>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</si>
  <si>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</si>
  <si>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</si>
  <si>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</si>
  <si>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</si>
  <si>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</si>
  <si>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</si>
  <si>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</si>
  <si>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</si>
  <si>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</si>
  <si>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</si>
  <si>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</si>
  <si>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</si>
  <si>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</si>
  <si>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</si>
  <si>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</si>
  <si>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</si>
  <si>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</si>
  <si>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</si>
  <si>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</si>
  <si>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</si>
  <si>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</si>
  <si>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</si>
  <si>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</si>
  <si>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</si>
  <si>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</si>
  <si>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</si>
  <si>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</si>
  <si>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</si>
  <si>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</si>
  <si>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</si>
  <si>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</si>
  <si>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</si>
  <si>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</si>
  <si>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</si>
  <si>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</si>
  <si>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</si>
  <si>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</si>
  <si>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</si>
  <si>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</si>
  <si>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</si>
  <si>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</si>
  <si>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</si>
  <si>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</si>
  <si>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</si>
  <si>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</si>
  <si>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</si>
  <si>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</si>
  <si>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</si>
  <si>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</si>
  <si>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</si>
  <si>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</si>
  <si>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</si>
  <si>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</si>
  <si>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</si>
  <si>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</si>
  <si>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</si>
  <si>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</si>
  <si>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</si>
  <si>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</si>
  <si>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</si>
  <si>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</si>
  <si>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</si>
  <si>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</si>
  <si>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</si>
  <si>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</si>
  <si>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</si>
  <si>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</si>
  <si>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</si>
  <si>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</si>
  <si>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</si>
  <si>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</si>
  <si>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</si>
  <si>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</si>
  <si>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</si>
  <si>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</si>
  <si>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</si>
  <si>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</si>
  <si>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</si>
  <si>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</si>
  <si>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</si>
  <si>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</si>
  <si>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</si>
  <si>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</si>
  <si>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</si>
  <si>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</si>
  <si>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</si>
  <si>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</si>
  <si>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</si>
  <si>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</si>
  <si>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</si>
  <si>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</si>
  <si>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</si>
  <si>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</si>
  <si>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</si>
  <si>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</si>
  <si>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</si>
  <si>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</si>
  <si>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</si>
  <si>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</si>
  <si>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</si>
  <si>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</si>
  <si>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</si>
  <si>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</si>
  <si>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</si>
  <si>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</si>
  <si>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</si>
  <si>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</si>
  <si>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</si>
  <si>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</si>
  <si>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</si>
  <si>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</si>
  <si>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</si>
  <si>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</si>
  <si>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</si>
  <si>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</si>
  <si>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</si>
  <si>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</si>
  <si>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</si>
  <si>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</si>
  <si>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</si>
  <si>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</si>
  <si>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</si>
  <si>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</si>
  <si>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</si>
  <si>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</si>
  <si>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</si>
  <si>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</si>
  <si>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</si>
  <si>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</si>
  <si>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</si>
  <si>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</si>
  <si>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</si>
  <si>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</si>
  <si>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</si>
  <si>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</si>
  <si>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</si>
  <si>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</si>
  <si>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</si>
  <si>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</si>
  <si>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</si>
  <si>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</si>
  <si>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</si>
  <si>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</si>
  <si>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</si>
  <si>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</si>
  <si>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</si>
  <si>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</si>
  <si>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</si>
  <si>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</si>
  <si>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</si>
  <si>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</si>
  <si>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</si>
  <si>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</si>
  <si>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</si>
  <si>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</si>
  <si>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</si>
  <si>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</si>
  <si>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</si>
  <si>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</si>
  <si>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</si>
  <si>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</si>
  <si>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</si>
  <si>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</si>
  <si>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</si>
  <si>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</si>
  <si>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</si>
  <si>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</si>
  <si>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</si>
  <si>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</si>
  <si>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</si>
  <si>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</si>
  <si>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</si>
  <si>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</si>
  <si>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</si>
  <si>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</si>
  <si>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</si>
  <si>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</si>
  <si>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</si>
  <si>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</si>
  <si>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</si>
  <si>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</si>
  <si>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</si>
  <si>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</si>
  <si>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</si>
  <si>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</si>
  <si>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</si>
  <si>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</si>
  <si>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</si>
  <si>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</si>
  <si>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</si>
  <si>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</si>
  <si>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</si>
  <si>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</si>
  <si>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</si>
  <si>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</si>
  <si>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</si>
  <si>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</si>
  <si>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</si>
  <si>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</si>
  <si>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</si>
  <si>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</si>
  <si>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</si>
  <si>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</si>
  <si>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</si>
  <si>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</si>
  <si>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</si>
  <si>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</si>
  <si>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</si>
  <si>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</si>
  <si>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</si>
  <si>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</si>
  <si>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</si>
  <si>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</si>
  <si>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</si>
  <si>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</si>
  <si>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</si>
  <si>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</si>
  <si>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</si>
  <si>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</si>
  <si>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</si>
  <si>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</si>
  <si>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</si>
  <si>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</si>
  <si>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</si>
  <si>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</si>
  <si>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</si>
  <si>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</si>
  <si>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</si>
  <si>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</si>
  <si>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</si>
  <si>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</si>
  <si>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</si>
  <si>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</si>
  <si>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</si>
  <si>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</si>
  <si>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</si>
  <si>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</si>
  <si>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</si>
  <si>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</si>
  <si>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</si>
  <si>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</si>
  <si>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</si>
  <si>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</si>
  <si>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</si>
  <si>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</si>
  <si>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</si>
  <si>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</si>
  <si>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</si>
  <si>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</si>
  <si>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</si>
  <si>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</si>
  <si>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</si>
  <si>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</si>
  <si>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</si>
  <si>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</si>
  <si>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</si>
  <si>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</si>
  <si>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</si>
  <si>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</si>
  <si>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</si>
  <si>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</si>
  <si>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</si>
  <si>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</si>
  <si>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</si>
  <si>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</si>
  <si>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</si>
  <si>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</si>
  <si>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</si>
  <si>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</si>
  <si>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</si>
  <si>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</si>
  <si>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</si>
  <si>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</si>
  <si>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</si>
  <si>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</si>
  <si>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</si>
  <si>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</si>
  <si>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</si>
  <si>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</si>
  <si>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</si>
  <si>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</si>
  <si>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</si>
  <si>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</si>
  <si>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</si>
  <si>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</si>
  <si>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</si>
  <si>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</si>
  <si>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</si>
  <si>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</si>
  <si>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</si>
  <si>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</si>
  <si>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</si>
  <si>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</si>
  <si>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</si>
  <si>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</si>
  <si>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</si>
  <si>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</si>
  <si>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</si>
  <si>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</si>
  <si>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</si>
  <si>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</si>
  <si>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</si>
  <si>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</si>
  <si>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</si>
  <si>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</si>
  <si>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</si>
  <si>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</si>
  <si>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</si>
  <si>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</si>
  <si>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</si>
  <si>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</si>
  <si>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</si>
  <si>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</si>
  <si>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</si>
  <si>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</si>
  <si>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</si>
  <si>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</si>
  <si>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</si>
  <si>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</si>
  <si>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</si>
  <si>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</si>
  <si>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</si>
  <si>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</si>
  <si>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</si>
  <si>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</si>
  <si>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</si>
  <si>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</si>
  <si>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</si>
  <si>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</si>
  <si>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</si>
  <si>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</si>
  <si>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</si>
  <si>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</si>
  <si>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</si>
  <si>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</si>
  <si>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</si>
  <si>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</si>
  <si>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</si>
  <si>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</si>
  <si>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</si>
  <si>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</si>
  <si>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</si>
  <si>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</si>
  <si>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</si>
  <si>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</si>
  <si>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</si>
  <si>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</si>
  <si>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</si>
  <si>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</si>
  <si>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</si>
  <si>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</si>
  <si>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</si>
  <si>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</si>
  <si>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</si>
  <si>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</si>
  <si>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</si>
  <si>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</si>
  <si>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</si>
  <si>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</si>
  <si>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</si>
  <si>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</si>
  <si>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</si>
  <si>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</si>
  <si>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</si>
  <si>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</si>
  <si>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</si>
  <si>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</si>
  <si>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</si>
  <si>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</si>
  <si>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</si>
  <si>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</si>
  <si>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</si>
  <si>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</si>
  <si>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</si>
  <si>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</si>
  <si>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</si>
  <si>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</si>
  <si>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</si>
  <si>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</si>
  <si>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</si>
  <si>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</si>
  <si>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</si>
  <si>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</si>
  <si>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</si>
  <si>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</si>
  <si>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</si>
  <si>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</si>
  <si>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</si>
  <si>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</si>
  <si>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</si>
  <si>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</si>
  <si>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</si>
  <si>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</si>
  <si>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</si>
  <si>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</si>
  <si>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</si>
  <si>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</si>
  <si>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</si>
  <si>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</si>
  <si>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</si>
  <si>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</si>
  <si>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</si>
  <si>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</si>
  <si>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</si>
  <si>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</si>
  <si>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</si>
  <si>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</si>
  <si>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</si>
  <si>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</si>
  <si>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</si>
  <si>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</si>
  <si>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</si>
  <si>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</si>
  <si>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</si>
  <si>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</si>
  <si>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</si>
  <si>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</si>
  <si>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</si>
  <si>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</si>
  <si>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</si>
  <si>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</si>
  <si>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</si>
  <si>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</si>
  <si>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</si>
  <si>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</si>
  <si>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</si>
  <si>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</si>
  <si>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</si>
  <si>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</si>
  <si>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</si>
  <si>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</si>
  <si>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</si>
  <si>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</si>
  <si>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</si>
  <si>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</si>
  <si>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</si>
  <si>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</si>
  <si>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</si>
  <si>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</si>
  <si>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</si>
  <si>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</si>
  <si>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</si>
  <si>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</si>
  <si>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</si>
  <si>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</si>
  <si>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</si>
  <si>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</si>
  <si>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</si>
  <si>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</si>
  <si>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</si>
  <si>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</si>
  <si>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</si>
  <si>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</si>
  <si>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</si>
  <si>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</si>
  <si>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</si>
  <si>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</si>
  <si>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</si>
  <si>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</si>
  <si>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</si>
  <si>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</si>
  <si>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</si>
  <si>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</si>
  <si>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</si>
  <si>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</si>
  <si>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</si>
  <si>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</si>
  <si>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</si>
  <si>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</si>
  <si>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</si>
  <si>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</si>
  <si>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</si>
  <si>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</si>
  <si>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</si>
  <si>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</si>
  <si>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</si>
  <si>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</si>
  <si>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</si>
  <si>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</si>
  <si>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</si>
  <si>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</si>
  <si>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</si>
  <si>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</si>
  <si>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</si>
  <si>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</si>
  <si>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</si>
  <si>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</si>
  <si>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</si>
  <si>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</si>
  <si>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</si>
  <si>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</si>
  <si>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</si>
  <si>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</si>
  <si>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</si>
  <si>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</si>
  <si>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</si>
  <si>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</si>
  <si>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</si>
  <si>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</si>
  <si>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</si>
  <si>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</si>
  <si>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</si>
  <si>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</si>
  <si>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</si>
  <si>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</si>
  <si>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</si>
  <si>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</si>
  <si>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</si>
  <si>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</si>
  <si>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</si>
  <si>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</si>
  <si>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</si>
  <si>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</si>
  <si>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</si>
  <si>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</si>
  <si>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</si>
  <si>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</si>
  <si>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</si>
  <si>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</si>
  <si>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</si>
  <si>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</si>
  <si>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</si>
  <si>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</si>
  <si>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</si>
  <si>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</si>
  <si>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</si>
  <si>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</si>
  <si>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</si>
  <si>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</si>
  <si>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</si>
  <si>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</si>
  <si>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</si>
  <si>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</si>
  <si>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</si>
  <si>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</si>
  <si>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</si>
  <si>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</si>
  <si>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</si>
  <si>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</si>
  <si>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</si>
  <si>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</si>
  <si>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</si>
  <si>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</si>
  <si>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</si>
  <si>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</si>
  <si>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</si>
  <si>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</si>
  <si>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</si>
  <si>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</si>
  <si>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</si>
  <si>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</si>
  <si>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</si>
  <si>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</si>
  <si>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</si>
  <si>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</si>
  <si>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</si>
  <si>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</si>
  <si>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</si>
  <si>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</si>
  <si>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</si>
  <si>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</si>
  <si>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</si>
  <si>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</si>
  <si>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</si>
  <si>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</si>
  <si>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</si>
  <si>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</si>
  <si>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</si>
  <si>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</si>
  <si>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</si>
  <si>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</si>
  <si>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</si>
  <si>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</si>
  <si>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</si>
  <si>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</si>
  <si>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</si>
  <si>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</si>
  <si>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</si>
  <si>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</si>
  <si>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</si>
  <si>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</si>
  <si>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</si>
  <si>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</si>
  <si>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</si>
  <si>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</si>
  <si>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</si>
  <si>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</si>
  <si>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</si>
  <si>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</si>
  <si>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</si>
  <si>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</si>
  <si>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</si>
  <si>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</si>
  <si>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</si>
  <si>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</si>
  <si>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</si>
  <si>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</si>
  <si>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</si>
  <si>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</si>
  <si>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</si>
  <si>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</si>
  <si>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</si>
  <si>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</si>
  <si>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</si>
  <si>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</si>
  <si>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</si>
  <si>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</si>
  <si>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</si>
  <si>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</si>
  <si>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</si>
  <si>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</si>
  <si>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</si>
  <si>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</si>
  <si>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</si>
  <si>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</si>
  <si>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</si>
  <si>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</si>
  <si>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</si>
  <si>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</si>
  <si>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</si>
  <si>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</si>
  <si>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</si>
  <si>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</si>
  <si>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</si>
  <si>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</si>
  <si>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</si>
  <si>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</si>
  <si>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</si>
  <si>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</si>
  <si>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</si>
  <si>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</si>
  <si>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</si>
  <si>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</si>
  <si>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</si>
  <si>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</si>
  <si>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</si>
  <si>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</si>
  <si>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</si>
  <si>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</si>
  <si>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</si>
  <si>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</si>
  <si>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</si>
  <si>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</si>
  <si>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</si>
  <si>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</si>
  <si>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</si>
  <si>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</si>
  <si>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</si>
  <si>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</si>
  <si>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</si>
  <si>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</si>
  <si>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</si>
  <si>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</si>
  <si>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</si>
  <si>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</si>
  <si>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</si>
  <si>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</si>
  <si>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</si>
  <si>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</si>
  <si>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</si>
  <si>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</si>
  <si>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</si>
  <si>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</si>
  <si>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</si>
  <si>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</si>
  <si>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</si>
  <si>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</si>
  <si>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</si>
  <si>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</si>
  <si>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</si>
  <si>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</si>
  <si>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</si>
  <si>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</si>
  <si>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</si>
  <si>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</si>
  <si>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</si>
  <si>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</si>
  <si>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</si>
  <si>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</si>
  <si>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</si>
  <si>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</si>
  <si>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</si>
  <si>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</si>
  <si>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</si>
  <si>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</si>
  <si>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</si>
  <si>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</si>
  <si>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</si>
  <si>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</si>
  <si>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</si>
  <si>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</si>
  <si>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</si>
  <si>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</si>
  <si>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</si>
  <si>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</si>
  <si>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</si>
  <si>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</si>
  <si>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</si>
  <si>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</si>
  <si>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</si>
  <si>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</si>
  <si>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</si>
  <si>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</si>
  <si>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</si>
  <si>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</si>
  <si>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</si>
  <si>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</si>
  <si>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</si>
  <si>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</si>
  <si>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</si>
  <si>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</si>
  <si>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</si>
  <si>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</si>
  <si>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</si>
  <si>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</si>
  <si>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</si>
  <si>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</si>
  <si>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</si>
  <si>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</si>
  <si>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</si>
  <si>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</si>
  <si>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</si>
  <si>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</si>
  <si>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</si>
  <si>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</si>
  <si>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</si>
  <si>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</si>
  <si>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</si>
  <si>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</si>
  <si>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</si>
  <si>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</si>
  <si>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</si>
  <si>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</si>
  <si>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</si>
  <si>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</si>
  <si>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</si>
  <si>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</si>
  <si>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</si>
  <si>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</si>
  <si>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</si>
  <si>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</si>
  <si>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</si>
  <si>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</si>
  <si>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</si>
  <si>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</si>
  <si>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</si>
  <si>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</si>
  <si>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</si>
  <si>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</si>
  <si>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</si>
  <si>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</si>
  <si>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</si>
  <si>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</si>
  <si>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</si>
  <si>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</si>
  <si>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</si>
  <si>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</si>
  <si>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</si>
  <si>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</si>
  <si>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</si>
  <si>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</si>
  <si>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</si>
  <si>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</si>
  <si>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</si>
  <si>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</si>
  <si>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</si>
  <si>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</si>
  <si>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</si>
  <si>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</si>
  <si>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</si>
  <si>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</si>
  <si>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</si>
  <si>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</si>
  <si>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</si>
  <si>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</si>
  <si>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</si>
  <si>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</si>
  <si>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</si>
  <si>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</si>
  <si>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</si>
  <si>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</si>
  <si>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</si>
  <si>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</si>
  <si>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</si>
  <si>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</si>
  <si>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</si>
  <si>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</si>
  <si>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</si>
  <si>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</si>
  <si>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</si>
  <si>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</si>
  <si>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</si>
  <si>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</si>
  <si>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</si>
  <si>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</si>
  <si>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</si>
  <si>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</si>
  <si>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</si>
  <si>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</si>
  <si>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</si>
  <si>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</si>
  <si>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</si>
  <si>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</si>
  <si>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</si>
  <si>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</si>
  <si>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</si>
  <si>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</si>
  <si>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</si>
  <si>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</si>
  <si>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</si>
  <si>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</si>
  <si>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</si>
  <si>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</si>
  <si>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</si>
  <si>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</si>
  <si>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</si>
  <si>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</si>
  <si>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</si>
  <si>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</si>
  <si>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</si>
  <si>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</si>
  <si>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</si>
  <si>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</si>
  <si>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</si>
  <si>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</si>
  <si>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</si>
  <si>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</si>
  <si>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</si>
  <si>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</si>
  <si>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</si>
  <si>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</si>
  <si>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</si>
  <si>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</si>
  <si>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</si>
  <si>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</si>
  <si>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</si>
  <si>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</si>
  <si>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</si>
  <si>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</si>
  <si>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</si>
  <si>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</si>
  <si>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</si>
  <si>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</si>
  <si>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</si>
  <si>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</si>
  <si>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</si>
  <si>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</si>
  <si>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</si>
  <si>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</si>
  <si>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</si>
  <si>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</si>
  <si>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</si>
  <si>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</si>
  <si>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</si>
  <si>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</si>
  <si>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</si>
  <si>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</si>
  <si>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</si>
  <si>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</si>
  <si>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</si>
  <si>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</si>
  <si>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</si>
  <si>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</si>
  <si>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</si>
  <si>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</si>
  <si>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</si>
  <si>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</si>
  <si>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</si>
  <si>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</si>
  <si>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</si>
  <si>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</si>
  <si>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</si>
  <si>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</si>
  <si>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</si>
  <si>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</si>
  <si>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</si>
  <si>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</si>
  <si>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</si>
  <si>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</si>
  <si>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</si>
  <si>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</si>
  <si>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</si>
  <si>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</si>
  <si>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</si>
  <si>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</si>
  <si>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</si>
  <si>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</si>
  <si>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</si>
  <si>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</si>
  <si>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</si>
  <si>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</si>
  <si>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</si>
  <si>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</si>
  <si>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</si>
  <si>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</si>
  <si>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</si>
  <si>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</si>
  <si>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</si>
  <si>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</si>
  <si>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</si>
  <si>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</si>
  <si>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</si>
  <si>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</si>
  <si>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</si>
  <si>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</si>
  <si>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</si>
  <si>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</si>
  <si>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</si>
  <si>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</si>
  <si>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</si>
  <si>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</si>
  <si>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</si>
  <si>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</si>
  <si>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</si>
  <si>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</si>
  <si>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</si>
  <si>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</si>
  <si>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</si>
  <si>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</si>
  <si>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</si>
  <si>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</si>
  <si>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</si>
  <si>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</si>
  <si>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</si>
  <si>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</si>
  <si>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</si>
  <si>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</si>
  <si>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</si>
  <si>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</si>
  <si>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</si>
  <si>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</si>
  <si>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</si>
  <si>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</si>
  <si>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</si>
  <si>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</si>
  <si>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</si>
  <si>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</si>
  <si>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</si>
  <si>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</si>
  <si>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</si>
  <si>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</si>
  <si>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</si>
  <si>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</si>
  <si>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</si>
  <si>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</si>
  <si>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</si>
  <si>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</si>
  <si>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</si>
  <si>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</si>
  <si>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</si>
  <si>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</si>
  <si>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</si>
  <si>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</si>
  <si>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</si>
  <si>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</si>
  <si>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</si>
  <si>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</si>
  <si>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</si>
  <si>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</si>
  <si>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</si>
  <si>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</si>
  <si>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</si>
  <si>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</si>
  <si>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</si>
  <si>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</si>
  <si>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</si>
  <si>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</si>
  <si>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</si>
  <si>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</si>
  <si>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</si>
  <si>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</si>
  <si>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</si>
  <si>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</si>
  <si>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</si>
  <si>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</si>
  <si>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</si>
  <si>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</si>
  <si>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</si>
  <si>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</si>
  <si>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</si>
  <si>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</si>
  <si>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</si>
  <si>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</si>
  <si>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</si>
  <si>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</si>
  <si>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</si>
  <si>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</si>
  <si>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</si>
  <si>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</si>
  <si>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</si>
  <si>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</si>
  <si>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</si>
  <si>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</si>
  <si>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</si>
  <si>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</si>
  <si>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</si>
  <si>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</si>
  <si>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</si>
  <si>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</si>
  <si>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</si>
  <si>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</si>
  <si>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</si>
  <si>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</si>
  <si>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</si>
  <si>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</si>
  <si>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</si>
  <si>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</si>
  <si>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</si>
  <si>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</si>
  <si>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</si>
  <si>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</si>
  <si>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</si>
  <si>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</si>
  <si>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</si>
  <si>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</si>
  <si>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</si>
  <si>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</si>
  <si>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</si>
  <si>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</si>
  <si>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</si>
  <si>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</si>
  <si>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</si>
  <si>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</si>
  <si>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</si>
  <si>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</si>
  <si>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</si>
  <si>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</si>
  <si>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</si>
  <si>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</si>
  <si>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</si>
  <si>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</si>
  <si>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</si>
  <si>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</si>
  <si>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</si>
  <si>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</si>
  <si>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</si>
  <si>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</si>
  <si>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</si>
  <si>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</si>
  <si>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</si>
  <si>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</si>
  <si>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</si>
  <si>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</si>
  <si>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</si>
  <si>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</si>
  <si>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</si>
  <si>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</si>
  <si>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</si>
  <si>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</si>
  <si>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</si>
  <si>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</si>
  <si>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</si>
  <si>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</si>
  <si>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</si>
  <si>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</si>
  <si>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</si>
  <si>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</si>
  <si>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</si>
  <si>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</si>
  <si>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</si>
  <si>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</si>
  <si>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</si>
  <si>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</si>
  <si>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</si>
  <si>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</si>
  <si>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</si>
  <si>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</si>
  <si>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</si>
  <si>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</si>
  <si>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</si>
  <si>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</si>
  <si>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</si>
  <si>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</si>
  <si>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</si>
  <si>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</si>
  <si>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</si>
  <si>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</si>
  <si>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</si>
  <si>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</si>
  <si>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</si>
  <si>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</si>
  <si>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</si>
  <si>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</si>
  <si>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</si>
  <si>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</si>
  <si>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</si>
  <si>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</si>
  <si>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</si>
  <si>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</si>
  <si>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</si>
  <si>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</si>
  <si>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</si>
  <si>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</si>
  <si>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</si>
  <si>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</si>
  <si>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</si>
  <si>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</si>
  <si>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</si>
  <si>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</si>
  <si>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</si>
  <si>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</si>
  <si>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</si>
  <si>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</si>
  <si>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</si>
  <si>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</si>
  <si>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</si>
  <si>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</si>
  <si>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</si>
  <si>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</si>
  <si>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</si>
  <si>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</si>
  <si>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</si>
  <si>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</si>
  <si>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</si>
  <si>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</si>
  <si>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</si>
  <si>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</si>
  <si>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</si>
  <si>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</si>
  <si>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</si>
  <si>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</si>
  <si>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</si>
  <si>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</si>
  <si>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</si>
  <si>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</si>
  <si>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</si>
  <si>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</si>
  <si>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</si>
  <si>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</si>
  <si>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</si>
  <si>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</si>
  <si>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</si>
  <si>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</si>
  <si>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</si>
  <si>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</si>
  <si>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</si>
  <si>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</si>
  <si>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</si>
  <si>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</si>
  <si>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</si>
  <si>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</si>
  <si>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</si>
  <si>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</si>
  <si>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</si>
  <si>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</si>
  <si>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</si>
  <si>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</si>
  <si>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</si>
  <si>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</si>
  <si>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</si>
  <si>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</si>
  <si>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</si>
  <si>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</si>
  <si>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</si>
  <si>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</si>
  <si>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</si>
  <si>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</si>
  <si>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</si>
  <si>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</si>
  <si>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</si>
  <si>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</si>
  <si>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</si>
  <si>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</si>
  <si>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</si>
  <si>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</si>
  <si>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</si>
  <si>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</si>
  <si>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</si>
  <si>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</si>
  <si>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</si>
  <si>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</si>
  <si>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</si>
  <si>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</si>
  <si>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</si>
  <si>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</si>
  <si>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</si>
  <si>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</si>
  <si>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</si>
  <si>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</si>
  <si>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</si>
  <si>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</si>
  <si>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</si>
  <si>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</si>
  <si>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</si>
  <si>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</si>
  <si>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</si>
  <si>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</si>
  <si>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</si>
  <si>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</si>
  <si>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</si>
  <si>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</si>
  <si>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</si>
  <si>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</si>
  <si>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</si>
  <si>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</si>
  <si>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</si>
  <si>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</si>
  <si>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</si>
  <si>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</si>
  <si>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</si>
  <si>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</si>
  <si>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</si>
  <si>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</si>
  <si>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</si>
  <si>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</si>
  <si>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</si>
  <si>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</si>
  <si>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</si>
  <si>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</si>
  <si>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</si>
  <si>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</si>
  <si>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</si>
  <si>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</si>
  <si>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</si>
  <si>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</si>
  <si>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</si>
  <si>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</si>
  <si>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</si>
  <si>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</si>
  <si>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</si>
  <si>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</si>
  <si>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</si>
  <si>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</si>
  <si>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</si>
  <si>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</si>
  <si>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</si>
  <si>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</si>
  <si>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</si>
  <si>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</si>
  <si>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</si>
  <si>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</si>
  <si>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</si>
  <si>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</si>
  <si>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</si>
  <si>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</si>
  <si>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</si>
  <si>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</si>
  <si>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</si>
  <si>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</si>
  <si>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</si>
  <si>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</si>
  <si>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</si>
  <si>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</si>
  <si>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</si>
  <si>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</si>
  <si>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</si>
  <si>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</si>
  <si>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</si>
  <si>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</si>
  <si>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</si>
  <si>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</si>
  <si>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</si>
  <si>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</si>
  <si>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</si>
  <si>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</si>
  <si>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</si>
  <si>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</si>
  <si>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</si>
  <si>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</si>
  <si>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</si>
  <si>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</si>
  <si>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</si>
  <si>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</si>
  <si>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</si>
  <si>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</si>
  <si>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</si>
  <si>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</si>
  <si>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</si>
  <si>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</si>
  <si>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</si>
  <si>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</si>
  <si>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</si>
  <si>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</si>
  <si>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</si>
  <si>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</si>
  <si>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</si>
  <si>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</si>
  <si>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</si>
  <si>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</si>
  <si>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</si>
  <si>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</si>
  <si>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</si>
  <si>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</si>
  <si>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</si>
  <si>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</si>
  <si>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</si>
  <si>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</si>
  <si>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</si>
  <si>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</si>
  <si>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</si>
  <si>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</si>
  <si>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</si>
  <si>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</si>
  <si>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</si>
  <si>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</si>
  <si>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</si>
  <si>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</si>
  <si>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</si>
  <si>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</si>
  <si>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</si>
  <si>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</si>
  <si>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</si>
  <si>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</si>
  <si>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</si>
  <si>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</si>
  <si>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</si>
  <si>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</si>
  <si>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</si>
  <si>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</si>
  <si>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</si>
  <si>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</si>
  <si>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</si>
  <si>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</si>
  <si>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</si>
  <si>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</si>
  <si>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</si>
  <si>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</si>
  <si>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</si>
  <si>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</si>
  <si>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</si>
  <si>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</si>
  <si>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</si>
  <si>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</si>
  <si>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</si>
  <si>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</si>
  <si>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</si>
  <si>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</si>
  <si>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</si>
  <si>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</si>
  <si>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</si>
  <si>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</si>
  <si>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</si>
  <si>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</si>
  <si>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</si>
  <si>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</si>
  <si>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</si>
  <si>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</si>
  <si>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</si>
  <si>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</si>
  <si>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</si>
  <si>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</si>
  <si>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</si>
  <si>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</si>
  <si>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</si>
  <si>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</si>
  <si>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</si>
  <si>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</si>
  <si>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</si>
  <si>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</si>
  <si>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</si>
  <si>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</si>
  <si>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</si>
  <si>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</si>
  <si>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</si>
  <si>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</si>
  <si>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</si>
  <si>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</si>
  <si>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</si>
  <si>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</si>
  <si>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</si>
  <si>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</si>
  <si>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</si>
  <si>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</si>
  <si>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</si>
  <si>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</si>
  <si>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</si>
  <si>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</si>
  <si>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</si>
  <si>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</si>
  <si>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</si>
  <si>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</si>
  <si>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</si>
  <si>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</si>
  <si>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</si>
  <si>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</si>
  <si>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</si>
  <si>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</si>
  <si>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</si>
  <si>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</si>
  <si>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</si>
  <si>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</si>
  <si>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</si>
  <si>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</si>
  <si>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</si>
  <si>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</si>
  <si>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</si>
  <si>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</si>
  <si>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</si>
  <si>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</si>
  <si>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</si>
  <si>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</si>
  <si>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</si>
  <si>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</si>
  <si>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</si>
  <si>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</si>
  <si>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</si>
  <si>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</si>
  <si>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</si>
  <si>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</si>
  <si>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</si>
  <si>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</si>
  <si>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</si>
  <si>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</si>
  <si>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</si>
  <si>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</si>
  <si>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</si>
  <si>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</si>
  <si>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</si>
  <si>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</si>
  <si>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</si>
  <si>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</si>
  <si>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</si>
  <si>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</si>
  <si>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</si>
  <si>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</si>
  <si>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</si>
  <si>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</si>
  <si>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</si>
  <si>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</si>
  <si>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</si>
  <si>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</si>
  <si>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</si>
  <si>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</si>
  <si>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</si>
  <si>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</si>
  <si>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</si>
  <si>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</si>
  <si>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</si>
  <si>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</si>
  <si>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</si>
  <si>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</si>
  <si>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</si>
  <si>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</si>
  <si>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</si>
  <si>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</si>
  <si>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</si>
  <si>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</si>
  <si>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</si>
  <si>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</si>
  <si>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</si>
  <si>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</si>
  <si>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</si>
  <si>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</si>
  <si>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</si>
  <si>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</si>
  <si>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</si>
  <si>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</si>
  <si>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</si>
  <si>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</si>
  <si>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</si>
  <si>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</si>
  <si>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</si>
  <si>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</si>
  <si>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</si>
  <si>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</si>
  <si>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</si>
  <si>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</si>
  <si>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</si>
  <si>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</si>
  <si>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</si>
  <si>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</si>
  <si>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</si>
  <si>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</si>
  <si>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</si>
  <si>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</si>
  <si>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</si>
  <si>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</si>
  <si>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</si>
  <si>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</si>
  <si>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</si>
  <si>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</si>
  <si>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</si>
  <si>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</si>
  <si>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</si>
  <si>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</si>
  <si>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</si>
  <si>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</si>
  <si>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</si>
  <si>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</si>
  <si>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</si>
  <si>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</si>
  <si>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</si>
  <si>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</si>
  <si>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</si>
  <si>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</si>
  <si>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</si>
  <si>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</si>
  <si>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</si>
  <si>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</si>
  <si>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</si>
  <si>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</si>
  <si>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</si>
  <si>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</si>
  <si>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</si>
  <si>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</si>
  <si>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</si>
  <si>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</si>
  <si>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</si>
  <si>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</si>
  <si>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</si>
  <si>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</si>
  <si>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</si>
  <si>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</si>
  <si>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</si>
  <si>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</si>
  <si>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</si>
  <si>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</si>
  <si>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</si>
  <si>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</si>
  <si>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</si>
  <si>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</si>
  <si>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</si>
  <si>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</si>
  <si>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</si>
  <si>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</si>
  <si>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</si>
  <si>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</si>
  <si>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</si>
  <si>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</si>
  <si>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</si>
  <si>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</si>
  <si>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</si>
  <si>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</si>
  <si>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</si>
  <si>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</si>
  <si>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</si>
  <si>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</si>
  <si>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</si>
  <si>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</si>
  <si>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</si>
  <si>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</si>
  <si>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</si>
  <si>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</si>
  <si>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</si>
  <si>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</si>
  <si>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</si>
  <si>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</si>
  <si>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</si>
  <si>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</si>
  <si>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</si>
  <si>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</si>
  <si>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</si>
  <si>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</si>
  <si>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</si>
  <si>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</si>
  <si>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</si>
  <si>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</si>
  <si>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</si>
  <si>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</si>
  <si>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</si>
  <si>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</si>
  <si>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</si>
  <si>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</si>
  <si>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</si>
  <si>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</si>
  <si>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</si>
  <si>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</si>
  <si>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</si>
  <si>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</si>
  <si>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</si>
  <si>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</si>
  <si>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</si>
  <si>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</si>
  <si>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</si>
  <si>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</si>
  <si>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</si>
  <si>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</si>
  <si>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</si>
  <si>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</si>
  <si>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</si>
  <si>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</si>
  <si>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</si>
  <si>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</si>
  <si>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</si>
  <si>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</si>
  <si>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</si>
  <si>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</si>
  <si>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</si>
  <si>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</si>
  <si>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</si>
  <si>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</si>
  <si>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</si>
  <si>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</si>
  <si>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</si>
  <si>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</si>
  <si>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</si>
  <si>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</si>
  <si>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</si>
  <si>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</si>
  <si>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</si>
  <si>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</si>
  <si>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</si>
  <si>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</si>
  <si>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</si>
  <si>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</si>
  <si>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</si>
  <si>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</si>
  <si>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</si>
  <si>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</si>
  <si>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</si>
  <si>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</si>
  <si>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</si>
  <si>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</si>
  <si>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</si>
  <si>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</si>
  <si>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</si>
  <si>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</si>
  <si>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</si>
  <si>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</si>
  <si>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</si>
  <si>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</si>
  <si>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</si>
  <si>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</si>
  <si>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</si>
  <si>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</si>
  <si>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</si>
  <si>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</si>
  <si>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</si>
  <si>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</si>
  <si>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</si>
  <si>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</si>
  <si>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</si>
  <si>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</si>
  <si>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</si>
  <si>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</si>
  <si>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</si>
  <si>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</si>
  <si>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</si>
  <si>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</si>
  <si>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</si>
  <si>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</si>
  <si>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</si>
  <si>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</si>
  <si>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</si>
  <si>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</si>
  <si>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</si>
  <si>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</si>
  <si>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</si>
  <si>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</si>
  <si>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</si>
  <si>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</si>
  <si>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</si>
  <si>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</si>
  <si>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</si>
  <si>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</si>
  <si>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</si>
  <si>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</si>
  <si>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</si>
  <si>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</si>
  <si>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</si>
  <si>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</si>
  <si>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</si>
  <si>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</si>
  <si>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</si>
  <si>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</si>
  <si>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</si>
  <si>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</si>
  <si>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</si>
  <si>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</si>
  <si>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</si>
  <si>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</si>
  <si>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</si>
  <si>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</si>
  <si>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</si>
  <si>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</si>
  <si>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</si>
  <si>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</si>
  <si>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</si>
  <si>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</si>
  <si>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</si>
  <si>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</si>
  <si>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</si>
  <si>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</si>
  <si>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</si>
  <si>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</si>
  <si>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</si>
  <si>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</si>
  <si>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</si>
  <si>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</si>
  <si>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</si>
  <si>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</si>
  <si>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</si>
  <si>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</si>
  <si>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</si>
  <si>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</si>
  <si>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</si>
  <si>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</si>
  <si>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</si>
  <si>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</si>
  <si>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</si>
  <si>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</si>
  <si>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</si>
  <si>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</si>
  <si>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</si>
  <si>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</si>
  <si>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</si>
  <si>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</si>
  <si>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</si>
  <si>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</si>
  <si>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</si>
  <si>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</si>
  <si>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</si>
  <si>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</si>
  <si>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</si>
  <si>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</si>
  <si>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</si>
  <si>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</si>
  <si>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</si>
  <si>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</si>
  <si>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</si>
  <si>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</si>
  <si>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</si>
  <si>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</si>
  <si>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</si>
  <si>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</si>
  <si>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</si>
  <si>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</si>
  <si>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</si>
  <si>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</si>
  <si>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</si>
  <si>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</si>
  <si>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</si>
  <si>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</si>
  <si>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</si>
  <si>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</si>
  <si>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</si>
  <si>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</si>
  <si>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</si>
  <si>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</si>
  <si>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</si>
  <si>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</si>
  <si>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</si>
  <si>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</si>
  <si>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</si>
  <si>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</si>
  <si>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</si>
  <si>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</si>
  <si>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</si>
  <si>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</si>
  <si>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</si>
  <si>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</si>
  <si>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</si>
  <si>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</si>
  <si>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</si>
  <si>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</si>
  <si>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</si>
  <si>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</si>
  <si>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</si>
  <si>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</si>
  <si>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</si>
  <si>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</si>
  <si>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</si>
  <si>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</si>
  <si>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</si>
  <si>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</si>
  <si>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</si>
  <si>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</si>
  <si>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</si>
  <si>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</si>
  <si>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</si>
  <si>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</si>
  <si>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</si>
  <si>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</si>
  <si>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</si>
  <si>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</si>
  <si>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</si>
  <si>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</si>
  <si>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</si>
  <si>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</si>
  <si>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</si>
  <si>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</si>
  <si>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</si>
  <si>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</si>
  <si>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</si>
  <si>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</si>
  <si>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</si>
  <si>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</si>
  <si>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</si>
  <si>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</si>
  <si>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</si>
  <si>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</si>
  <si>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</si>
  <si>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</si>
  <si>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</si>
  <si>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</si>
  <si>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</si>
  <si>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</si>
  <si>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</si>
  <si>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</si>
  <si>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</si>
  <si>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</si>
  <si>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</si>
  <si>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</si>
  <si>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</si>
  <si>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</si>
  <si>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</si>
  <si>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</si>
  <si>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</si>
  <si>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</si>
  <si>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</si>
  <si>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</si>
  <si>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</si>
  <si>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</si>
  <si>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</si>
  <si>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</si>
  <si>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</si>
  <si>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</si>
  <si>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</si>
  <si>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</si>
  <si>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</si>
  <si>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</si>
  <si>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</si>
  <si>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</si>
  <si>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</si>
  <si>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</si>
  <si>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</si>
  <si>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</si>
  <si>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</si>
  <si>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</si>
  <si>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</si>
  <si>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</si>
  <si>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</si>
  <si>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</si>
  <si>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</si>
  <si>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</si>
  <si>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</si>
  <si>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</si>
  <si>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</si>
  <si>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</si>
  <si>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</si>
  <si>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</si>
  <si>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</si>
  <si>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</si>
  <si>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</si>
  <si>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</si>
  <si>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</si>
  <si>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</si>
  <si>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</si>
  <si>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</si>
  <si>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</si>
  <si>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</si>
  <si>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</si>
  <si>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</si>
  <si>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</si>
  <si>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</si>
  <si>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</si>
  <si>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</si>
  <si>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</si>
  <si>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</si>
  <si>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</si>
  <si>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</si>
  <si>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</si>
  <si>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</si>
  <si>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</si>
  <si>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</si>
  <si>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</si>
  <si>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</si>
  <si>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</si>
  <si>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</si>
  <si>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</si>
  <si>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</si>
  <si>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</si>
  <si>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</si>
  <si>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</si>
  <si>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</si>
  <si>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</si>
  <si>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</si>
  <si>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</si>
  <si>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</si>
  <si>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</si>
  <si>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</si>
  <si>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</si>
  <si>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</si>
  <si>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</si>
  <si>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</si>
  <si>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</si>
  <si>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</si>
  <si>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</si>
  <si>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</si>
  <si>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</si>
  <si>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</si>
  <si>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</si>
  <si>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</si>
  <si>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</si>
  <si>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</si>
  <si>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</si>
  <si>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</si>
  <si>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</si>
  <si>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</si>
  <si>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</si>
  <si>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</si>
  <si>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</si>
  <si>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</si>
  <si>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</si>
  <si>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</si>
  <si>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</si>
  <si>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</si>
  <si>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</si>
  <si>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</si>
  <si>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</si>
  <si>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</si>
  <si>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</si>
  <si>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</si>
  <si>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</si>
  <si>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</si>
  <si>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</si>
  <si>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</si>
  <si>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</si>
  <si>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</si>
  <si>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</si>
  <si>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</si>
  <si>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</si>
  <si>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</si>
  <si>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</si>
  <si>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</si>
  <si>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</si>
  <si>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</si>
  <si>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</si>
  <si>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</si>
  <si>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</si>
  <si>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</si>
  <si>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</si>
  <si>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</si>
  <si>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</si>
  <si>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</si>
  <si>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</si>
  <si>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</si>
  <si>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</si>
  <si>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</si>
  <si>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</si>
  <si>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</si>
  <si>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</si>
  <si>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</si>
  <si>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</si>
  <si>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</si>
  <si>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</si>
  <si>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</si>
  <si>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</si>
  <si>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</si>
  <si>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</si>
  <si>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</si>
  <si>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</si>
  <si>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</si>
  <si>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</si>
  <si>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</si>
  <si>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</si>
  <si>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</si>
  <si>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</si>
  <si>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</si>
  <si>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</si>
  <si>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</si>
  <si>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</si>
  <si>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</si>
  <si>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</si>
  <si>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</si>
  <si>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</si>
  <si>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</si>
  <si>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</si>
  <si>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</si>
  <si>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</si>
  <si>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</si>
  <si>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</si>
  <si>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</si>
  <si>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</si>
  <si>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</si>
  <si>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</si>
  <si>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</si>
  <si>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</si>
  <si>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</si>
  <si>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</si>
  <si>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</si>
  <si>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</si>
  <si>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</si>
  <si>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</si>
  <si>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</si>
  <si>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</si>
  <si>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</si>
  <si>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</si>
  <si>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</si>
  <si>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</si>
  <si>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</si>
  <si>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</si>
  <si>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</si>
  <si>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</si>
  <si>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</si>
  <si>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</si>
  <si>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</si>
  <si>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</si>
  <si>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</si>
  <si>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</si>
  <si>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</si>
  <si>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</si>
  <si>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</si>
  <si>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</si>
  <si>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</si>
  <si>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</si>
  <si>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</si>
  <si>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</si>
  <si>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</si>
  <si>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</si>
  <si>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</si>
  <si>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</si>
  <si>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</si>
  <si>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</si>
  <si>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</si>
  <si>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</si>
  <si>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</si>
  <si>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</si>
  <si>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</si>
  <si>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</si>
  <si>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</si>
  <si>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</si>
  <si>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</si>
  <si>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</si>
  <si>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</si>
  <si>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</si>
  <si>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</si>
  <si>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</si>
  <si>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</si>
  <si>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</si>
  <si>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</si>
  <si>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</si>
  <si>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</si>
  <si>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</si>
  <si>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</si>
  <si>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</si>
  <si>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</si>
  <si>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</si>
  <si>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</si>
  <si>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</si>
  <si>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</si>
  <si>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</si>
  <si>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</si>
  <si>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</si>
  <si>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</si>
  <si>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</si>
  <si>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</si>
  <si>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</si>
  <si>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</si>
  <si>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</si>
  <si>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</si>
  <si>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</si>
  <si>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</si>
  <si>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</si>
  <si>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</si>
  <si>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</si>
  <si>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</si>
  <si>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</si>
  <si>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</si>
  <si>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</si>
  <si>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</si>
  <si>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</si>
  <si>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</si>
  <si>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</si>
  <si>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</si>
  <si>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</si>
  <si>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</si>
  <si>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</si>
  <si>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</si>
  <si>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</si>
  <si>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</si>
  <si>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</si>
  <si>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</si>
  <si>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</si>
  <si>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</si>
  <si>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</si>
  <si>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</si>
  <si>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</si>
  <si>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</si>
  <si>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</si>
  <si>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</si>
  <si>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</si>
  <si>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</si>
  <si>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</si>
  <si>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</si>
  <si>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</si>
  <si>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</si>
  <si>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</si>
  <si>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</si>
  <si>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</si>
  <si>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</si>
  <si>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</si>
  <si>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</si>
  <si>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</si>
  <si>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</si>
  <si>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</si>
  <si>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</si>
  <si>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</si>
  <si>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</si>
  <si>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</si>
  <si>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</si>
  <si>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</si>
  <si>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</si>
  <si>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</si>
  <si>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</si>
  <si>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</si>
  <si>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</si>
  <si>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</si>
  <si>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</si>
  <si>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</si>
  <si>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</si>
  <si>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</si>
  <si>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</si>
  <si>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</si>
  <si>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</si>
  <si>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</si>
  <si>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</si>
  <si>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</si>
  <si>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</si>
  <si>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</si>
  <si>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</si>
  <si>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</si>
  <si>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</si>
  <si>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</si>
  <si>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</si>
  <si>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</si>
  <si>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</si>
  <si>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</si>
  <si>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</si>
  <si>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</si>
  <si>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</si>
  <si>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</si>
  <si>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</si>
  <si>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</si>
  <si>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</si>
  <si>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</si>
  <si>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</si>
  <si>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</si>
  <si>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</si>
  <si>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</si>
  <si>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</si>
  <si>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</si>
  <si>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</si>
  <si>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</si>
  <si>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</si>
  <si>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</si>
  <si>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</si>
  <si>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</si>
  <si>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</si>
  <si>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</si>
  <si>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</si>
  <si>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</si>
  <si>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</si>
  <si>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</si>
  <si>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</si>
  <si>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</si>
  <si>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</si>
  <si>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</si>
  <si>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</si>
  <si>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</si>
  <si>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</si>
  <si>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</si>
  <si>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</si>
  <si>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</si>
  <si>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</si>
  <si>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</si>
  <si>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</si>
  <si>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</si>
  <si>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</si>
  <si>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</si>
  <si>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</si>
  <si>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</si>
  <si>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</si>
  <si>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</si>
  <si>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</si>
  <si>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</si>
  <si>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</si>
  <si>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</si>
  <si>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</si>
  <si>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</si>
  <si>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</si>
  <si>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</si>
  <si>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</si>
  <si>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</si>
  <si>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</si>
  <si>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</si>
  <si>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</si>
  <si>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</si>
  <si>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</si>
  <si>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</si>
  <si>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</si>
  <si>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</si>
  <si>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</si>
  <si>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</si>
  <si>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</si>
  <si>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</si>
  <si>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</si>
  <si>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</si>
  <si>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</si>
  <si>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</si>
  <si>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</si>
  <si>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</si>
  <si>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</si>
  <si>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</si>
  <si>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</si>
  <si>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</si>
  <si>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</si>
  <si>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</si>
  <si>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</si>
  <si>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</si>
  <si>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</si>
  <si>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</si>
  <si>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</si>
  <si>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</si>
  <si>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</si>
  <si>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</si>
  <si>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</si>
  <si>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</si>
  <si>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</si>
  <si>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</si>
  <si>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</si>
  <si>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</si>
  <si>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</si>
  <si>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</si>
  <si>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</si>
  <si>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</si>
  <si>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</si>
  <si>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</si>
  <si>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</si>
  <si>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</si>
  <si>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</si>
  <si>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</si>
  <si>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</si>
  <si>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</si>
  <si>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</si>
  <si>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</si>
  <si>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</si>
  <si>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</si>
  <si>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</si>
  <si>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</si>
  <si>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</si>
  <si>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</si>
  <si>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</si>
  <si>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</si>
  <si>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</si>
  <si>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</si>
  <si>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</si>
  <si>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</si>
  <si>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</si>
  <si>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</si>
  <si>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</si>
  <si>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</si>
  <si>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</si>
  <si>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</si>
  <si>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</si>
  <si>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</si>
  <si>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</si>
  <si>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</si>
  <si>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</si>
  <si>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</si>
  <si>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</si>
  <si>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</si>
  <si>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</si>
  <si>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</si>
  <si>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</si>
  <si>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</si>
  <si>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</si>
  <si>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</si>
  <si>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</si>
  <si>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</si>
  <si>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</si>
  <si>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</si>
  <si>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</si>
  <si>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</si>
  <si>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</si>
  <si>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</si>
  <si>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</si>
  <si>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</si>
  <si>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</si>
  <si>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</si>
  <si>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</si>
  <si>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</si>
  <si>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</si>
  <si>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</si>
  <si>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</si>
  <si>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</si>
  <si>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</si>
  <si>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</si>
  <si>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</si>
  <si>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</si>
  <si>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</si>
  <si>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</si>
  <si>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</si>
  <si>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</si>
  <si>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</si>
  <si>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</si>
  <si>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</si>
  <si>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</si>
  <si>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</si>
  <si>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</si>
  <si>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</si>
  <si>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</si>
  <si>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</si>
  <si>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</si>
  <si>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</si>
  <si>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</si>
  <si>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</si>
  <si>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</si>
  <si>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</si>
  <si>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</si>
  <si>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</si>
  <si>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</si>
  <si>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</si>
  <si>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</si>
  <si>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</si>
  <si>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</si>
  <si>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</si>
  <si>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</si>
  <si>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</si>
  <si>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</si>
  <si>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</si>
  <si>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</si>
  <si>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</si>
  <si>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</si>
  <si>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</si>
  <si>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</si>
  <si>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</si>
  <si>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</si>
  <si>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</si>
  <si>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</si>
  <si>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</si>
  <si>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</si>
  <si>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</si>
  <si>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</si>
  <si>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</si>
  <si>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</si>
  <si>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</si>
  <si>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</si>
  <si>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</si>
  <si>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</si>
  <si>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</si>
  <si>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</si>
  <si>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</si>
  <si>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</si>
  <si>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</si>
  <si>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</si>
  <si>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</si>
  <si>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</si>
  <si>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</si>
  <si>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</si>
  <si>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</si>
  <si>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</si>
  <si>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</si>
  <si>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</si>
  <si>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</si>
  <si>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</si>
  <si>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</si>
  <si>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</si>
  <si>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</si>
  <si>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</si>
  <si>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</si>
  <si>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</si>
  <si>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</si>
  <si>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</si>
  <si>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</si>
  <si>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</si>
  <si>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</si>
  <si>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</si>
  <si>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</si>
  <si>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</si>
  <si>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</si>
  <si>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</si>
  <si>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</si>
  <si>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</si>
  <si>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</si>
  <si>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</si>
  <si>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</si>
  <si>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</si>
  <si>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</si>
  <si>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</si>
  <si>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</si>
  <si>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</si>
  <si>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</si>
  <si>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</si>
  <si>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</si>
  <si>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</si>
  <si>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</si>
  <si>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</si>
  <si>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</si>
  <si>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</si>
  <si>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</si>
  <si>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</si>
  <si>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</si>
  <si>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</si>
  <si>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</si>
  <si>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</si>
  <si>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</si>
  <si>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</si>
  <si>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</si>
  <si>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</si>
  <si>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</si>
  <si>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</si>
  <si>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</si>
  <si>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</si>
  <si>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</si>
  <si>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</si>
  <si>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</si>
  <si>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</si>
  <si>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</si>
  <si>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</si>
  <si>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</si>
  <si>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</si>
  <si>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</si>
  <si>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</si>
  <si>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</si>
  <si>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</si>
  <si>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</si>
  <si>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</si>
  <si>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</si>
  <si>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</si>
  <si>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</si>
  <si>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</si>
  <si>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</si>
  <si>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</si>
  <si>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</si>
  <si>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</si>
  <si>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</si>
  <si>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</si>
  <si>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</si>
  <si>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</si>
  <si>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</si>
  <si>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</si>
  <si>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</si>
  <si>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</si>
  <si>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</si>
  <si>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</si>
  <si>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</si>
  <si>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</si>
  <si>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</si>
  <si>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</si>
  <si>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</si>
  <si>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</si>
  <si>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</si>
  <si>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</si>
  <si>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</si>
  <si>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</si>
  <si>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</si>
  <si>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</si>
  <si>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</si>
  <si>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</si>
  <si>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</si>
  <si>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</si>
  <si>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</si>
  <si>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</si>
  <si>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</si>
  <si>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</si>
  <si>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</si>
  <si>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</si>
  <si>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</si>
  <si>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</si>
  <si>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</si>
  <si>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</si>
  <si>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</si>
  <si>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</si>
  <si>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</si>
  <si>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</si>
  <si>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</si>
  <si>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</si>
  <si>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</si>
  <si>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</si>
  <si>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</si>
  <si>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</si>
  <si>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</si>
  <si>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</si>
  <si>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</si>
  <si>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</si>
  <si>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</si>
  <si>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</si>
  <si>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</si>
  <si>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</si>
  <si>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</si>
  <si>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</si>
  <si>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</si>
  <si>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</si>
  <si>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</si>
  <si>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</si>
  <si>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</si>
  <si>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</si>
  <si>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</si>
  <si>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</si>
  <si>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</si>
  <si>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</si>
  <si>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</si>
  <si>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</si>
  <si>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</si>
  <si>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</si>
  <si>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</si>
  <si>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</si>
  <si>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</si>
  <si>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</si>
  <si>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</si>
  <si>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</si>
  <si>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</si>
  <si>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</si>
  <si>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</si>
  <si>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</si>
  <si>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</si>
  <si>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</si>
  <si>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</si>
  <si>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</si>
  <si>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</si>
  <si>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</si>
  <si>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</si>
  <si>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</si>
  <si>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</si>
  <si>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</si>
  <si>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</si>
  <si>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</si>
  <si>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</si>
  <si>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</si>
  <si>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</si>
  <si>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</si>
  <si>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</si>
  <si>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</si>
  <si>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</si>
  <si>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</si>
  <si>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</si>
  <si>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</si>
  <si>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</si>
  <si>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</si>
  <si>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</si>
  <si>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</si>
  <si>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</si>
  <si>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</si>
  <si>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</si>
  <si>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</si>
  <si>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</si>
  <si>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</si>
  <si>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</si>
  <si>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</si>
  <si>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</si>
  <si>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</si>
  <si>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</si>
  <si>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</si>
  <si>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</si>
  <si>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</si>
  <si>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</si>
  <si>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</si>
  <si>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</si>
  <si>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</si>
  <si>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</si>
  <si>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</si>
  <si>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</si>
  <si>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</si>
  <si>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</si>
  <si>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</si>
  <si>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</si>
  <si>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</si>
  <si>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</si>
  <si>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</si>
  <si>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</si>
  <si>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</si>
  <si>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</si>
  <si>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</si>
  <si>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</si>
  <si>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</si>
  <si>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</si>
  <si>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</si>
  <si>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</si>
  <si>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</si>
  <si>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</si>
  <si>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</si>
  <si>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</si>
  <si>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</si>
  <si>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</si>
  <si>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</si>
  <si>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</si>
  <si>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</si>
  <si>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</si>
  <si>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</si>
  <si>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</si>
  <si>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</si>
  <si>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</si>
  <si>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</si>
  <si>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</si>
  <si>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</si>
  <si>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</si>
  <si>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</si>
  <si>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</si>
  <si>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</si>
  <si>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</si>
  <si>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</si>
  <si>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</si>
  <si>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</si>
  <si>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</si>
  <si>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</si>
  <si>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</si>
  <si>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</si>
  <si>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</si>
  <si>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</si>
  <si>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</si>
  <si>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</si>
  <si>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</si>
  <si>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</si>
  <si>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</si>
  <si>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</si>
  <si>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</si>
  <si>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</si>
  <si>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</si>
  <si>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</si>
  <si>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</si>
  <si>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</si>
  <si>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</si>
  <si>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</si>
  <si>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</si>
  <si>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</si>
  <si>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</si>
  <si>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</si>
  <si>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</si>
  <si>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</si>
  <si>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</si>
  <si>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</si>
  <si>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</si>
  <si>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</si>
  <si>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</si>
  <si>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</si>
  <si>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</si>
  <si>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</si>
  <si>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</si>
  <si>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</si>
  <si>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</si>
  <si>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</si>
  <si>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</si>
  <si>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</si>
  <si>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</si>
  <si>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</si>
  <si>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</si>
  <si>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</si>
  <si>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</si>
  <si>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</si>
  <si>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</si>
  <si>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</si>
  <si>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</si>
  <si>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</si>
  <si>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</si>
  <si>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</si>
  <si>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</si>
  <si>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</si>
  <si>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</si>
  <si>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</si>
  <si>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</si>
  <si>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</si>
  <si>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</si>
  <si>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</si>
  <si>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</si>
  <si>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</si>
  <si>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</si>
  <si>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</si>
  <si>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</si>
  <si>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</si>
  <si>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</si>
  <si>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</si>
  <si>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</si>
  <si>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</si>
  <si>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</si>
  <si>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</si>
  <si>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</si>
  <si>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</si>
  <si>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</si>
  <si>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</si>
  <si>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</si>
  <si>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</si>
  <si>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</si>
  <si>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</si>
  <si>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</si>
  <si>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</si>
  <si>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</si>
  <si>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</si>
  <si>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</si>
  <si>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</si>
  <si>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</si>
  <si>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</si>
  <si>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</si>
  <si>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</si>
  <si>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</si>
  <si>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</si>
  <si>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</si>
  <si>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</si>
  <si>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</si>
  <si>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</si>
  <si>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</si>
  <si>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</si>
  <si>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</si>
  <si>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</si>
  <si>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</si>
  <si>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</si>
  <si>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</si>
  <si>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</si>
  <si>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</si>
  <si>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</si>
  <si>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</si>
  <si>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</si>
  <si>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</si>
  <si>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</si>
  <si>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</si>
  <si>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</si>
  <si>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</si>
  <si>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</si>
  <si>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</si>
  <si>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</si>
  <si>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</si>
  <si>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</si>
  <si>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</si>
  <si>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</si>
  <si>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</si>
  <si>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</si>
  <si>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</si>
  <si>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</si>
  <si>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</si>
  <si>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</si>
  <si>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</si>
  <si>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</si>
  <si>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</si>
  <si>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</si>
  <si>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</si>
  <si>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</si>
  <si>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</si>
  <si>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</si>
  <si>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</si>
  <si>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</si>
  <si>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</si>
  <si>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</si>
  <si>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</si>
  <si>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</si>
  <si>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</si>
  <si>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</si>
  <si>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</si>
  <si>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</si>
  <si>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</si>
  <si>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</si>
  <si>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</si>
  <si>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</si>
  <si>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</si>
  <si>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</si>
  <si>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</si>
  <si>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</si>
  <si>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</si>
  <si>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</si>
  <si>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</si>
  <si>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</si>
  <si>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</si>
  <si>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</si>
  <si>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</si>
  <si>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</si>
  <si>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</si>
  <si>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</si>
  <si>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</si>
  <si>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</si>
  <si>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</si>
  <si>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</si>
  <si>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</si>
  <si>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</si>
  <si>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</si>
  <si>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</si>
  <si>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</si>
  <si>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</si>
  <si>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</si>
  <si>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</si>
  <si>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</si>
  <si>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</si>
  <si>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</si>
  <si>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</si>
  <si>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</si>
  <si>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</si>
  <si>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</si>
  <si>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</si>
  <si>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</si>
  <si>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</si>
  <si>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</si>
  <si>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</si>
  <si>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</si>
  <si>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</si>
  <si>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</si>
  <si>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</si>
  <si>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</si>
  <si>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</si>
  <si>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</si>
  <si>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</si>
  <si>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</si>
  <si>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</si>
  <si>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</si>
  <si>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</si>
  <si>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</si>
  <si>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</si>
  <si>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</si>
  <si>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</si>
  <si>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</si>
  <si>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</si>
  <si>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</si>
  <si>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</si>
  <si>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</si>
  <si>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</si>
  <si>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</si>
  <si>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</si>
  <si>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</si>
  <si>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</si>
  <si>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</si>
  <si>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</si>
  <si>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</si>
  <si>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</si>
  <si>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</si>
  <si>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</si>
  <si>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</si>
  <si>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</si>
  <si>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</si>
  <si>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</si>
  <si>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</si>
  <si>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</si>
  <si>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</si>
  <si>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</si>
  <si>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</si>
  <si>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</si>
  <si>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</si>
  <si>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</si>
  <si>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</si>
  <si>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</si>
  <si>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</si>
  <si>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</si>
  <si>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</si>
  <si>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</si>
  <si>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</si>
  <si>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</si>
  <si>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</si>
  <si>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</si>
  <si>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</si>
  <si>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</si>
  <si>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</si>
  <si>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</si>
  <si>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</si>
  <si>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</si>
  <si>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</si>
  <si>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</si>
  <si>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</si>
  <si>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</si>
  <si>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</si>
  <si>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</si>
  <si>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</si>
  <si>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</si>
  <si>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</si>
  <si>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</si>
  <si>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</si>
  <si>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</si>
  <si>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</si>
  <si>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</si>
  <si>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</si>
  <si>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</si>
  <si>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</si>
  <si>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</si>
  <si>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</si>
  <si>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</si>
  <si>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</si>
  <si>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</si>
  <si>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</si>
  <si>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</si>
  <si>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</si>
  <si>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</si>
  <si>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</si>
  <si>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</si>
  <si>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</si>
  <si>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</si>
  <si>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</si>
  <si>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</si>
  <si>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</si>
  <si>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</si>
  <si>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</si>
  <si>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</si>
  <si>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</si>
  <si>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</si>
  <si>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</si>
  <si>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</si>
  <si>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</si>
  <si>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</si>
  <si>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</si>
  <si>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</si>
  <si>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</si>
  <si>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</si>
  <si>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</si>
  <si>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</si>
  <si>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</si>
  <si>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</si>
  <si>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</si>
  <si>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</si>
  <si>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</si>
  <si>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</si>
  <si>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</si>
  <si>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</si>
  <si>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</si>
  <si>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</si>
  <si>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</si>
  <si>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</si>
  <si>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</si>
  <si>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</si>
  <si>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</si>
  <si>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</si>
  <si>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</si>
  <si>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</si>
  <si>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</si>
  <si>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</si>
  <si>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</si>
  <si>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</si>
  <si>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</si>
  <si>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</si>
  <si>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</si>
  <si>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</si>
  <si>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</si>
  <si>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</si>
  <si>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</si>
  <si>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</si>
  <si>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</si>
  <si>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</si>
  <si>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</si>
  <si>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</si>
  <si>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</si>
  <si>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</si>
  <si>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</si>
  <si>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</si>
  <si>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</si>
  <si>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</si>
  <si>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</si>
  <si>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</si>
  <si>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</si>
  <si>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</si>
  <si>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</si>
  <si>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</si>
  <si>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</si>
  <si>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</si>
  <si>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</si>
  <si>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</si>
  <si>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</si>
  <si>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</si>
  <si>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</si>
  <si>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</si>
  <si>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</si>
  <si>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</si>
  <si>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</si>
  <si>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</si>
  <si>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</si>
  <si>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</si>
  <si>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</si>
  <si>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</si>
  <si>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</si>
  <si>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</si>
  <si>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</si>
  <si>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</si>
  <si>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</si>
  <si>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</si>
  <si>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</si>
  <si>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</si>
  <si>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</si>
  <si>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</si>
  <si>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</si>
  <si>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</si>
  <si>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</si>
  <si>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</si>
  <si>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</si>
  <si>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</si>
  <si>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</si>
  <si>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</si>
  <si>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</si>
  <si>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</si>
  <si>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</si>
  <si>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</si>
  <si>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</si>
  <si>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</si>
  <si>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</si>
  <si>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</si>
  <si>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</si>
  <si>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</si>
  <si>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</si>
  <si>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</si>
  <si>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</si>
  <si>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</si>
  <si>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</si>
  <si>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</si>
  <si>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</si>
  <si>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</si>
  <si>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</si>
  <si>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</si>
  <si>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</si>
  <si>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</si>
  <si>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</si>
  <si>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</si>
  <si>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</si>
  <si>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</si>
  <si>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</si>
  <si>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</si>
  <si>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</si>
  <si>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</si>
  <si>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</si>
  <si>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</si>
  <si>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</si>
  <si>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</si>
  <si>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</si>
  <si>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</si>
  <si>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</si>
  <si>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</si>
  <si>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</si>
  <si>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</si>
  <si>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</si>
  <si>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</si>
  <si>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</si>
  <si>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</si>
  <si>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</si>
  <si>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</si>
  <si>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</si>
  <si>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</si>
  <si>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</si>
  <si>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</si>
  <si>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</si>
  <si>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</si>
  <si>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</si>
  <si>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</si>
  <si>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</si>
  <si>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</si>
  <si>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</si>
  <si>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</si>
  <si>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</si>
  <si>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</si>
  <si>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</si>
  <si>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</si>
  <si>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</si>
  <si>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</si>
  <si>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</si>
  <si>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</si>
  <si>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</si>
  <si>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</si>
  <si>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</si>
  <si>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</si>
  <si>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</si>
  <si>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</si>
  <si>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</si>
  <si>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</si>
  <si>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</si>
  <si>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</si>
  <si>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</si>
  <si>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</si>
  <si>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</si>
  <si>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</si>
  <si>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</si>
  <si>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</si>
  <si>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</si>
  <si>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</si>
  <si>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</si>
  <si>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</si>
  <si>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</si>
  <si>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</si>
  <si>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</si>
  <si>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</si>
  <si>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</si>
  <si>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</si>
  <si>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</si>
  <si>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</si>
  <si>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</si>
  <si>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</si>
  <si>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</si>
  <si>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</si>
  <si>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</si>
  <si>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</si>
  <si>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</si>
  <si>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</si>
  <si>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</si>
  <si>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</si>
  <si>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</si>
  <si>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</si>
  <si>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</si>
  <si>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</si>
  <si>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</si>
  <si>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</si>
  <si>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</si>
  <si>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</si>
  <si>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</si>
  <si>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</si>
  <si>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</si>
  <si>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</si>
  <si>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</si>
  <si>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</si>
  <si>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</si>
  <si>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</si>
  <si>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</si>
  <si>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</si>
  <si>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</si>
  <si>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</si>
  <si>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</si>
  <si>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</si>
  <si>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</si>
  <si>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</si>
  <si>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</si>
  <si>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</si>
  <si>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</si>
  <si>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</si>
  <si>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</si>
  <si>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</si>
  <si>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</si>
  <si>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</si>
  <si>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</si>
  <si>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</si>
  <si>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</si>
  <si>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</si>
  <si>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</si>
  <si>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</si>
  <si>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</si>
  <si>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</si>
  <si>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</si>
  <si>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</si>
  <si>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</si>
  <si>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</si>
  <si>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</si>
  <si>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</si>
  <si>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</si>
  <si>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</si>
  <si>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</si>
  <si>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</si>
  <si>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</si>
  <si>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</si>
  <si>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</si>
  <si>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</si>
  <si>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</si>
  <si>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</si>
  <si>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</si>
  <si>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</si>
  <si>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</si>
  <si>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</si>
  <si>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</si>
  <si>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</si>
  <si>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</si>
  <si>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</si>
  <si>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</si>
  <si>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</si>
  <si>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</si>
  <si>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</si>
  <si>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</si>
  <si>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</si>
  <si>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</si>
  <si>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</si>
  <si>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</si>
  <si>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</si>
  <si>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</si>
  <si>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</si>
  <si>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</si>
  <si>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</si>
  <si>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</si>
  <si>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</si>
  <si>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</si>
  <si>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</si>
  <si>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</si>
  <si>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</si>
  <si>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</si>
  <si>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</si>
  <si>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</si>
  <si>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</si>
  <si>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</si>
  <si>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</si>
  <si>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</si>
  <si>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</si>
  <si>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</si>
  <si>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</si>
  <si>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</si>
  <si>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</si>
  <si>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</si>
  <si>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</si>
  <si>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</si>
  <si>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</si>
  <si>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</si>
  <si>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</si>
  <si>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</si>
  <si>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</si>
  <si>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</si>
  <si>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</si>
  <si>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</si>
  <si>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</si>
  <si>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</si>
  <si>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</si>
  <si>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</si>
  <si>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</si>
  <si>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</si>
  <si>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</si>
  <si>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</si>
  <si>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</si>
  <si>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</si>
  <si>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</si>
  <si>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</si>
  <si>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</si>
  <si>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</si>
  <si>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</si>
  <si>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</si>
  <si>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</si>
  <si>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</si>
  <si>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</si>
  <si>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</si>
  <si>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</si>
  <si>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</si>
  <si>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</si>
  <si>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</si>
  <si>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</si>
  <si>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</si>
  <si>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</si>
  <si>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</si>
  <si>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</si>
  <si>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</si>
  <si>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</si>
  <si>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</si>
  <si>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</si>
  <si>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</si>
  <si>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</si>
  <si>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</si>
  <si>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</si>
  <si>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</si>
  <si>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</si>
  <si>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</si>
  <si>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</si>
  <si>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</si>
  <si>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</si>
  <si>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</si>
  <si>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</si>
  <si>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</si>
  <si>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</si>
  <si>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</si>
  <si>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</si>
  <si>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</si>
  <si>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</si>
  <si>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</si>
  <si>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</si>
  <si>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</si>
  <si>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</si>
  <si>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</si>
  <si>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</si>
  <si>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</si>
  <si>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</si>
  <si>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</si>
  <si>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</si>
  <si>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</si>
  <si>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</si>
  <si>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</si>
  <si>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</si>
  <si>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</si>
  <si>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</si>
  <si>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</si>
  <si>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</si>
  <si>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</si>
  <si>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</si>
  <si>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</si>
  <si>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</si>
  <si>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</si>
  <si>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</si>
  <si>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</si>
  <si>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</si>
  <si>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</si>
  <si>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</si>
  <si>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</si>
  <si>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</si>
  <si>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</si>
  <si>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</si>
  <si>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</si>
  <si>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</si>
  <si>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</si>
  <si>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</si>
  <si>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</si>
  <si>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</si>
  <si>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</si>
  <si>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</si>
  <si>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</si>
  <si>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</si>
  <si>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</si>
  <si>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</si>
  <si>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</si>
  <si>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</si>
  <si>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</si>
  <si>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</si>
  <si>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</si>
  <si>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</si>
  <si>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</si>
  <si>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</si>
  <si>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</si>
  <si>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</si>
  <si>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</si>
  <si>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</si>
  <si>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</si>
  <si>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</si>
  <si>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</si>
  <si>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</si>
  <si>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</si>
  <si>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</si>
  <si>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</si>
  <si>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</si>
  <si>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</si>
  <si>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</si>
  <si>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</si>
  <si>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</si>
  <si>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</si>
  <si>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</si>
  <si>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</si>
  <si>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</si>
  <si>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</si>
  <si>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</si>
  <si>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</si>
  <si>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</si>
  <si>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</si>
  <si>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</si>
  <si>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</si>
  <si>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</si>
  <si>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</si>
  <si>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</si>
  <si>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</si>
  <si>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</si>
  <si>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</si>
  <si>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</si>
  <si>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</si>
  <si>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</si>
  <si>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</si>
  <si>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</si>
  <si>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</si>
  <si>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</si>
  <si>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</si>
  <si>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</si>
  <si>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</si>
  <si>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</si>
  <si>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</si>
  <si>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</si>
  <si>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</si>
  <si>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</si>
  <si>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</si>
  <si>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</si>
  <si>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</si>
  <si>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</si>
  <si>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</si>
  <si>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</si>
  <si>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</si>
  <si>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</si>
  <si>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</si>
  <si>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</si>
  <si>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</si>
  <si>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</si>
  <si>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</si>
  <si>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</si>
  <si>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</si>
  <si>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</si>
  <si>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</si>
  <si>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</si>
  <si>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</si>
  <si>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</si>
  <si>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</si>
  <si>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</si>
  <si>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</si>
  <si>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</si>
  <si>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</si>
  <si>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</si>
  <si>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</si>
  <si>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</si>
  <si>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</si>
  <si>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</si>
  <si>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</si>
  <si>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</si>
  <si>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</si>
  <si>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</si>
  <si>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</si>
  <si>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</si>
  <si>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</si>
  <si>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</si>
  <si>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</si>
  <si>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</si>
  <si>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</si>
  <si>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</si>
  <si>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</si>
  <si>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</si>
  <si>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</si>
  <si>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</si>
  <si>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</si>
  <si>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</si>
  <si>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</si>
  <si>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</si>
  <si>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</si>
  <si>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</si>
  <si>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</si>
  <si>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</si>
  <si>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</si>
  <si>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</si>
  <si>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</si>
  <si>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</si>
  <si>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</si>
  <si>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</si>
  <si>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</si>
  <si>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</si>
  <si>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</si>
  <si>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</si>
  <si>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</si>
  <si>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</si>
  <si>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</si>
  <si>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</si>
  <si>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</si>
  <si>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</si>
  <si>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</si>
  <si>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</si>
  <si>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</si>
  <si>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</si>
  <si>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</si>
  <si>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</si>
  <si>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</si>
  <si>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</si>
  <si>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</si>
  <si>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</si>
  <si>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</si>
  <si>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</si>
  <si>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</si>
  <si>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</si>
  <si>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</si>
  <si>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</si>
  <si>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</si>
  <si>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</si>
  <si>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</si>
  <si>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</si>
  <si>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</si>
  <si>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</si>
  <si>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</si>
  <si>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</si>
  <si>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</si>
  <si>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</si>
  <si>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</si>
  <si>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</si>
  <si>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</si>
  <si>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</si>
  <si>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</si>
  <si>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</si>
  <si>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</si>
  <si>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</si>
  <si>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</si>
  <si>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</si>
  <si>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</si>
  <si>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</si>
  <si>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</si>
  <si>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</si>
  <si>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</si>
  <si>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</si>
  <si>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</si>
  <si>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</si>
  <si>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</si>
  <si>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</si>
  <si>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</si>
  <si>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</si>
  <si>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</si>
  <si>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</si>
  <si>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</si>
  <si>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</si>
  <si>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</si>
  <si>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</si>
  <si>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</si>
  <si>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</si>
  <si>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</si>
  <si>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</si>
  <si>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</si>
  <si>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</si>
  <si>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</si>
  <si>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</si>
  <si>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</si>
  <si>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</si>
  <si>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</si>
  <si>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</si>
  <si>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</si>
  <si>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</si>
  <si>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</si>
  <si>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</si>
  <si>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</si>
  <si>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</si>
  <si>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</si>
  <si>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</si>
  <si>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</si>
  <si>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</si>
  <si>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</si>
  <si>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</si>
  <si>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</si>
  <si>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</si>
  <si>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</si>
  <si>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</si>
  <si>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</si>
  <si>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</si>
  <si>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</si>
  <si>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</si>
  <si>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</si>
  <si>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</si>
  <si>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</si>
  <si>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</si>
  <si>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</si>
  <si>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</si>
  <si>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</si>
  <si>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</si>
  <si>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</si>
  <si>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</si>
  <si>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</si>
  <si>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</si>
  <si>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</si>
  <si>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</si>
  <si>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</si>
  <si>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</si>
  <si>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</si>
  <si>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</si>
  <si>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</si>
  <si>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</si>
  <si>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</si>
  <si>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</si>
  <si>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</si>
  <si>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</si>
  <si>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</si>
  <si>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</si>
  <si>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</si>
  <si>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</si>
  <si>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</si>
  <si>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</si>
  <si>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</si>
  <si>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</si>
  <si>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</si>
  <si>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</si>
  <si>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</si>
  <si>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</si>
  <si>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</si>
  <si>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</si>
  <si>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</si>
  <si>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</si>
  <si>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</si>
  <si>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</si>
  <si>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</si>
  <si>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</si>
  <si>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</si>
  <si>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</si>
  <si>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</si>
  <si>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</si>
  <si>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</si>
  <si>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</si>
  <si>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</si>
  <si>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</si>
  <si>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</si>
  <si>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</si>
  <si>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</si>
  <si>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</si>
  <si>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</si>
  <si>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</si>
  <si>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</si>
  <si>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</si>
  <si>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</si>
  <si>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</si>
  <si>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</si>
  <si>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</si>
  <si>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</si>
  <si>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</si>
  <si>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</si>
  <si>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</si>
  <si>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</si>
  <si>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</si>
  <si>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</si>
  <si>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</si>
  <si>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</si>
  <si>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</si>
  <si>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</si>
  <si>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</si>
  <si>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</si>
  <si>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</si>
  <si>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</si>
  <si>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</si>
  <si>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</si>
  <si>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</si>
  <si>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</si>
  <si>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</si>
  <si>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</si>
  <si>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</si>
  <si>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</si>
  <si>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</si>
  <si>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</si>
  <si>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</si>
  <si>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</si>
  <si>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</si>
  <si>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</si>
  <si>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</si>
  <si>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</si>
  <si>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</si>
  <si>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</si>
  <si>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</si>
  <si>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</si>
  <si>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</si>
  <si>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</si>
  <si>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</si>
  <si>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</si>
  <si>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</si>
  <si>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</si>
  <si>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</si>
  <si>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</si>
  <si>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</si>
  <si>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</si>
  <si>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</si>
  <si>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</si>
  <si>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</si>
  <si>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</si>
  <si>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</si>
  <si>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</si>
  <si>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</si>
  <si>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</si>
  <si>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</si>
  <si>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</si>
  <si>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</si>
  <si>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</si>
  <si>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</si>
  <si>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</si>
  <si>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</si>
  <si>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</si>
  <si>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</si>
  <si>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</si>
  <si>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</si>
  <si>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</si>
  <si>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</si>
  <si>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</si>
  <si>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</si>
  <si>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</si>
  <si>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</si>
  <si>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</si>
  <si>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</si>
  <si>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</si>
  <si>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</si>
  <si>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</si>
  <si>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</si>
  <si>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</si>
  <si>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</si>
  <si>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</si>
  <si>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</si>
  <si>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</si>
  <si>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</si>
  <si>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</si>
  <si>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</si>
  <si>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</si>
  <si>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</si>
  <si>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</si>
  <si>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</si>
  <si>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</si>
  <si>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</si>
  <si>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</si>
  <si>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</si>
  <si>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</si>
  <si>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</si>
  <si>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</si>
  <si>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</si>
  <si>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</si>
  <si>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</si>
  <si>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</si>
  <si>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</si>
  <si>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</si>
  <si>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</si>
  <si>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</si>
  <si>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</si>
  <si>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</si>
  <si>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</si>
  <si>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</si>
  <si>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</si>
  <si>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</si>
  <si>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</si>
  <si>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</si>
  <si>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</si>
  <si>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</si>
  <si>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</si>
  <si>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</si>
  <si>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</si>
  <si>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</si>
  <si>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</si>
  <si>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</si>
  <si>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</si>
  <si>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</si>
  <si>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</si>
  <si>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</si>
  <si>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</si>
  <si>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</si>
  <si>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</si>
  <si>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</si>
  <si>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</si>
  <si>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</si>
  <si>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</si>
  <si>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</si>
  <si>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</si>
  <si>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</si>
  <si>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</si>
  <si>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</si>
  <si>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</si>
  <si>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</si>
  <si>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</si>
  <si>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</si>
  <si>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</si>
  <si>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</si>
  <si>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</si>
  <si>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</si>
  <si>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</si>
  <si>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</si>
  <si>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</si>
  <si>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</si>
  <si>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</si>
  <si>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</si>
  <si>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</si>
  <si>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</si>
  <si>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</si>
  <si>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</si>
  <si>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</si>
  <si>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</si>
  <si>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</si>
  <si>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</si>
  <si>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</si>
  <si>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</si>
  <si>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</si>
  <si>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</si>
  <si>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</si>
  <si>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</si>
  <si>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</si>
  <si>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</si>
  <si>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</si>
  <si>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</si>
  <si>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</si>
  <si>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</si>
  <si>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</si>
  <si>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</si>
  <si>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</si>
  <si>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</si>
  <si>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</si>
  <si>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</si>
  <si>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</si>
  <si>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</si>
  <si>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</si>
  <si>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</si>
  <si>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</si>
  <si>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</si>
  <si>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</si>
  <si>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</si>
  <si>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</si>
  <si>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</si>
  <si>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</si>
  <si>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</si>
  <si>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</si>
  <si>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</si>
  <si>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</si>
  <si>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</si>
  <si>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</si>
  <si>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</si>
  <si>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</si>
  <si>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</si>
  <si>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</si>
  <si>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</si>
  <si>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</si>
  <si>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</si>
  <si>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</si>
  <si>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</si>
  <si>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</si>
  <si>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</si>
  <si>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</si>
  <si>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</si>
  <si>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</si>
  <si>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</si>
  <si>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</si>
  <si>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</si>
  <si>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</si>
  <si>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</si>
  <si>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</si>
  <si>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</si>
  <si>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</si>
  <si>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</si>
  <si>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</si>
  <si>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</si>
  <si>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</si>
  <si>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</si>
  <si>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</si>
  <si>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</si>
  <si>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</si>
  <si>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</si>
  <si>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</si>
  <si>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</si>
  <si>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</si>
  <si>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</si>
  <si>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</si>
  <si>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</si>
  <si>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</si>
  <si>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</si>
  <si>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</si>
  <si>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</si>
  <si>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</si>
  <si>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</si>
  <si>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</si>
  <si>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</si>
  <si>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</si>
  <si>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</si>
  <si>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</si>
  <si>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</si>
  <si>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</si>
  <si>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</si>
  <si>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</si>
  <si>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</si>
  <si>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</si>
  <si>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</si>
  <si>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</si>
  <si>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</si>
  <si>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</si>
  <si>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</si>
  <si>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</si>
  <si>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</si>
  <si>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</si>
  <si>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</si>
  <si>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</si>
  <si>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</si>
  <si>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</si>
  <si>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</si>
  <si>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</si>
  <si>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</si>
  <si>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</si>
  <si>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</si>
  <si>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</si>
  <si>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</si>
  <si>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</si>
  <si>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</si>
  <si>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</si>
  <si>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</si>
  <si>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</si>
  <si>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</si>
  <si>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</si>
  <si>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</si>
  <si>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</si>
  <si>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</si>
  <si>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</si>
  <si>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</si>
  <si>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</si>
  <si>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</si>
  <si>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</si>
  <si>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</si>
  <si>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</si>
  <si>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</si>
  <si>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</si>
  <si>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</si>
  <si>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</si>
  <si>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</si>
  <si>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</si>
  <si>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</si>
  <si>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</si>
  <si>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</si>
  <si>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</si>
  <si>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</si>
  <si>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</si>
  <si>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</si>
  <si>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</si>
  <si>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</si>
  <si>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</si>
  <si>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</si>
  <si>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</si>
  <si>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</si>
  <si>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</si>
  <si>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</si>
  <si>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</si>
  <si>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</si>
  <si>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</si>
  <si>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</si>
  <si>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</si>
  <si>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</si>
  <si>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</si>
  <si>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</si>
  <si>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</si>
  <si>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</si>
  <si>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</si>
  <si>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</si>
  <si>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</si>
  <si>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</si>
  <si>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</si>
  <si>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</si>
  <si>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</si>
  <si>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</si>
  <si>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</si>
  <si>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</si>
  <si>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</si>
  <si>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</si>
  <si>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</si>
  <si>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</si>
  <si>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</si>
  <si>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</si>
  <si>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</si>
  <si>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</si>
  <si>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</si>
  <si>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</si>
  <si>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</si>
  <si>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</si>
  <si>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</si>
  <si>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</si>
  <si>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</si>
  <si>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</si>
  <si>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</si>
  <si>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</si>
  <si>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</si>
  <si>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</si>
  <si>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</si>
  <si>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</si>
  <si>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</si>
  <si>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</si>
  <si>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</si>
  <si>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</si>
  <si>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</si>
  <si>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</si>
  <si>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</si>
  <si>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</si>
  <si>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</si>
  <si>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</si>
  <si>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</si>
  <si>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</si>
  <si>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</si>
  <si>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</si>
  <si>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</si>
  <si>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</si>
  <si>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</si>
  <si>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</si>
  <si>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</si>
  <si>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</si>
  <si>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</si>
  <si>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</si>
  <si>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</si>
  <si>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</si>
  <si>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</si>
  <si>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</si>
  <si>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</si>
  <si>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</si>
  <si>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</si>
  <si>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</si>
  <si>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</si>
  <si>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</si>
  <si>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</si>
  <si>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</si>
  <si>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</si>
  <si>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</si>
  <si>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</si>
  <si>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</si>
  <si>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</si>
  <si>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</si>
  <si>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</si>
  <si>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</si>
  <si>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</si>
  <si>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</si>
  <si>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</si>
  <si>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</si>
  <si>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</si>
  <si>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</si>
  <si>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</si>
  <si>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</si>
  <si>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</si>
  <si>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</si>
  <si>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</si>
  <si>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</si>
  <si>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</si>
  <si>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</si>
  <si>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</si>
  <si>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</si>
  <si>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</si>
  <si>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</si>
  <si>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</si>
  <si>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</si>
  <si>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</si>
  <si>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</si>
  <si>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</si>
  <si>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</si>
  <si>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</si>
  <si>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</si>
  <si>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</si>
  <si>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</si>
  <si>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</si>
  <si>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</si>
  <si>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</si>
  <si>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</si>
  <si>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</si>
  <si>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</si>
  <si>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</si>
  <si>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</si>
  <si>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</si>
  <si>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</si>
  <si>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</si>
  <si>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</si>
  <si>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</si>
  <si>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</si>
  <si>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</si>
  <si>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</si>
  <si>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</si>
  <si>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</si>
  <si>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</si>
  <si>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</si>
  <si>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</si>
  <si>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</si>
  <si>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</si>
  <si>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</si>
  <si>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</si>
  <si>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</si>
  <si>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</si>
  <si>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</si>
  <si>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</si>
  <si>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</si>
  <si>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</si>
  <si>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</si>
  <si>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</si>
  <si>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</si>
  <si>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</si>
  <si>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</si>
  <si>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</si>
  <si>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</si>
  <si>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</si>
  <si>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</si>
  <si>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</si>
  <si>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</si>
  <si>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</si>
  <si>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</si>
  <si>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</si>
  <si>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</si>
  <si>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</si>
  <si>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</si>
  <si>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</si>
  <si>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</si>
  <si>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</si>
  <si>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</si>
  <si>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</si>
  <si>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</si>
  <si>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</si>
  <si>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</si>
  <si>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</si>
  <si>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</si>
  <si>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</si>
  <si>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</si>
  <si>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</si>
  <si>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</si>
  <si>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</si>
  <si>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</si>
  <si>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</si>
  <si>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</si>
  <si>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</si>
  <si>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</si>
  <si>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</si>
  <si>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</si>
  <si>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</si>
  <si>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</si>
  <si>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</si>
  <si>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</si>
  <si>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</si>
  <si>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</si>
  <si>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</si>
  <si>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</si>
  <si>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</si>
  <si>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</si>
  <si>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</si>
  <si>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</si>
  <si>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</si>
  <si>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</si>
  <si>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</si>
  <si>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</si>
  <si>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</si>
  <si>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</si>
  <si>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</si>
  <si>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</si>
  <si>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</si>
  <si>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</si>
  <si>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</si>
  <si>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</si>
  <si>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</si>
  <si>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</si>
  <si>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</si>
  <si>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</si>
  <si>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</si>
  <si>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</si>
  <si>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</si>
  <si>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</si>
  <si>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</si>
  <si>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</si>
  <si>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</si>
  <si>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</si>
  <si>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</si>
  <si>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</si>
  <si>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</si>
  <si>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</si>
  <si>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</si>
  <si>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</si>
  <si>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</si>
  <si>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</si>
  <si>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</si>
  <si>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</si>
  <si>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</si>
  <si>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</si>
  <si>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</si>
  <si>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</si>
  <si>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</si>
  <si>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</si>
  <si>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</si>
  <si>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</si>
  <si>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</si>
  <si>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</si>
  <si>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</si>
  <si>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</si>
  <si>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</si>
  <si>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</si>
  <si>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</si>
  <si>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</si>
  <si>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</si>
  <si>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</si>
  <si>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</si>
  <si>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</si>
  <si>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</si>
  <si>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</si>
  <si>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</si>
  <si>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</si>
  <si>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</si>
  <si>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</si>
  <si>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</si>
  <si>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</si>
  <si>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</si>
  <si>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</si>
  <si>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</si>
  <si>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</si>
  <si>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</si>
  <si>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</si>
  <si>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</si>
  <si>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</si>
  <si>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</si>
  <si>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</si>
  <si>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</si>
  <si>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</si>
  <si>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</si>
  <si>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</si>
  <si>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</si>
  <si>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</si>
  <si>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</si>
  <si>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</si>
  <si>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</si>
  <si>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</si>
  <si>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</si>
  <si>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</si>
  <si>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</si>
  <si>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</si>
  <si>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</si>
  <si>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</si>
  <si>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</si>
  <si>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</si>
  <si>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</si>
  <si>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</si>
  <si>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</si>
  <si>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</si>
  <si>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</si>
  <si>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</si>
  <si>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</si>
  <si>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</si>
  <si>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</si>
  <si>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</si>
  <si>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</si>
  <si>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</si>
  <si>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</si>
  <si>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</si>
  <si>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</si>
  <si>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</si>
  <si>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</si>
  <si>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</si>
  <si>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</si>
  <si>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</si>
  <si>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</si>
  <si>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</si>
  <si>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</si>
  <si>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</si>
  <si>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</si>
  <si>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</si>
  <si>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</si>
  <si>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</si>
  <si>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</si>
  <si>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</si>
  <si>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</si>
  <si>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</si>
  <si>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</si>
  <si>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</si>
  <si>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</si>
  <si>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</si>
  <si>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</si>
  <si>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</si>
  <si>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</si>
  <si>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</si>
  <si>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</si>
  <si>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</si>
  <si>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</si>
  <si>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</si>
  <si>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</si>
  <si>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</si>
  <si>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</si>
  <si>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</si>
  <si>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</si>
  <si>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</si>
  <si>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</si>
  <si>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</si>
  <si>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</si>
  <si>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</si>
  <si>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</si>
  <si>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</si>
  <si>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</si>
  <si>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</si>
  <si>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</si>
  <si>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</si>
  <si>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</si>
  <si>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</si>
  <si>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</si>
  <si>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</si>
  <si>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</si>
  <si>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</si>
  <si>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</si>
  <si>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</si>
  <si>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</si>
  <si>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</si>
  <si>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</si>
  <si>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</si>
  <si>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</si>
  <si>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</si>
  <si>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</si>
  <si>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</si>
  <si>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</si>
  <si>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</si>
  <si>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</si>
  <si>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</si>
  <si>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</si>
  <si>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</si>
  <si>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</si>
  <si>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</si>
  <si>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</si>
  <si>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</si>
  <si>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</si>
  <si>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</si>
  <si>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</si>
  <si>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</si>
  <si>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</si>
  <si>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</si>
  <si>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</si>
  <si>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</si>
  <si>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</si>
  <si>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</si>
  <si>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</si>
  <si>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</si>
  <si>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</si>
  <si>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</si>
  <si>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</si>
  <si>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</si>
  <si>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</si>
  <si>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</si>
  <si>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</si>
  <si>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</si>
  <si>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</si>
  <si>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</si>
  <si>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</si>
  <si>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</si>
  <si>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</si>
  <si>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</si>
  <si>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</si>
  <si>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</si>
  <si>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</si>
  <si>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</si>
  <si>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</si>
  <si>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</si>
  <si>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</si>
  <si>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</si>
  <si>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</si>
  <si>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</si>
  <si>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</si>
  <si>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</si>
  <si>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</si>
  <si>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</si>
  <si>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</si>
  <si>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</si>
  <si>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</si>
  <si>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</si>
  <si>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</si>
  <si>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</si>
  <si>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</si>
  <si>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</si>
  <si>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</si>
  <si>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</si>
  <si>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</si>
  <si>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</si>
  <si>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</si>
  <si>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</si>
  <si>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</si>
  <si>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</si>
  <si>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</si>
  <si>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</si>
  <si>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</si>
  <si>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</si>
  <si>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</si>
  <si>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</si>
  <si>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</si>
  <si>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</si>
  <si>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</si>
  <si>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</si>
  <si>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</si>
  <si>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</si>
  <si>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</si>
  <si>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</si>
  <si>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</si>
  <si>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</si>
  <si>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</si>
  <si>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</si>
  <si>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</si>
  <si>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</si>
  <si>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</si>
  <si>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</si>
  <si>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</si>
  <si>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</si>
  <si>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</si>
  <si>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</si>
  <si>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</si>
  <si>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</si>
  <si>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</si>
  <si>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</si>
  <si>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</si>
  <si>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</si>
  <si>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</si>
  <si>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</si>
  <si>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</si>
  <si>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</si>
  <si>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</si>
  <si>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</si>
  <si>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</si>
  <si>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</si>
  <si>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</si>
  <si>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</si>
  <si>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</si>
  <si>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</si>
  <si>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</si>
  <si>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</si>
  <si>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</si>
  <si>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</si>
  <si>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</si>
  <si>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</si>
  <si>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</si>
  <si>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</si>
  <si>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</si>
  <si>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</si>
  <si>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</si>
  <si>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</si>
  <si>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</si>
  <si>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</si>
  <si>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</si>
  <si>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</si>
  <si>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</si>
  <si>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</si>
  <si>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</si>
  <si>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</si>
  <si>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</si>
  <si>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</si>
  <si>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</si>
  <si>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</si>
  <si>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</si>
  <si>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</si>
  <si>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</si>
  <si>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</si>
  <si>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</si>
  <si>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</si>
  <si>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</si>
  <si>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</si>
  <si>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</si>
  <si>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</si>
  <si>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</si>
  <si>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</si>
  <si>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</si>
  <si>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</si>
  <si>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</si>
  <si>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</si>
  <si>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</si>
  <si>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</si>
  <si>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</si>
  <si>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</si>
  <si>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</si>
  <si>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</si>
  <si>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</si>
  <si>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</si>
  <si>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</si>
  <si>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</si>
  <si>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</si>
  <si>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</si>
  <si>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</si>
  <si>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</si>
  <si>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</si>
  <si>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</si>
  <si>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</si>
  <si>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</si>
  <si>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</si>
  <si>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</si>
  <si>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</si>
  <si>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</si>
  <si>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</si>
  <si>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</si>
  <si>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</si>
  <si>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</si>
  <si>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</si>
  <si>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</si>
  <si>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</si>
  <si>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</si>
  <si>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</si>
  <si>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</si>
  <si>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</si>
  <si>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</si>
  <si>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</si>
  <si>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</si>
  <si>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</si>
  <si>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</si>
  <si>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</si>
  <si>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</si>
  <si>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</si>
  <si>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</si>
  <si>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</si>
  <si>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</si>
  <si>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</si>
  <si>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</si>
  <si>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</si>
  <si>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</si>
  <si>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</si>
  <si>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</si>
  <si>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</si>
  <si>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</si>
  <si>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</si>
  <si>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</si>
  <si>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</si>
  <si>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</si>
  <si>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</si>
  <si>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</si>
  <si>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</si>
  <si>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</si>
  <si>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</si>
  <si>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</si>
  <si>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</si>
  <si>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</si>
  <si>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</si>
  <si>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</si>
  <si>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</si>
  <si>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</si>
  <si>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</si>
  <si>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</si>
  <si>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</si>
  <si>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</si>
  <si>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</si>
  <si>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</si>
  <si>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</si>
  <si>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</si>
  <si>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</si>
  <si>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</si>
  <si>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</si>
  <si>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</si>
  <si>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</si>
  <si>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</si>
  <si>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</si>
  <si>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</si>
  <si>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</si>
  <si>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</si>
  <si>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</si>
  <si>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</si>
  <si>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</si>
  <si>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</si>
  <si>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</si>
  <si>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</si>
  <si>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</si>
  <si>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</si>
  <si>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</si>
  <si>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</si>
  <si>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</si>
  <si>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</si>
  <si>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</si>
  <si>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</si>
  <si>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</si>
  <si>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</si>
  <si>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</si>
  <si>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</si>
  <si>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</si>
  <si>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</si>
  <si>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</si>
  <si>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</si>
  <si>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</si>
  <si>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</si>
  <si>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</si>
  <si>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</si>
  <si>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</si>
  <si>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</si>
  <si>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</si>
  <si>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</si>
  <si>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</si>
  <si>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</si>
  <si>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</si>
  <si>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</si>
  <si>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</si>
  <si>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</si>
  <si>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</si>
  <si>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</si>
  <si>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</si>
  <si>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</si>
  <si>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</si>
  <si>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</si>
  <si>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</si>
  <si>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</si>
  <si>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</si>
  <si>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</si>
  <si>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</si>
  <si>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</si>
  <si>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</si>
  <si>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</si>
  <si>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</si>
  <si>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</si>
  <si>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</si>
  <si>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</si>
  <si>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</si>
  <si>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</si>
  <si>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</si>
  <si>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</si>
  <si>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</si>
  <si>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</si>
  <si>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</si>
  <si>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</si>
  <si>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</si>
  <si>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</si>
  <si>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</si>
  <si>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</si>
  <si>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</si>
  <si>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</si>
  <si>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</si>
  <si>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</si>
  <si>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</si>
  <si>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</si>
  <si>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</si>
  <si>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</si>
  <si>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</si>
  <si>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</si>
  <si>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</si>
  <si>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</si>
  <si>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</si>
  <si>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</si>
  <si>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</si>
  <si>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</si>
  <si>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</si>
  <si>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</si>
  <si>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</si>
  <si>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</si>
  <si>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</si>
  <si>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</si>
  <si>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</si>
  <si>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</si>
  <si>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</si>
  <si>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</si>
  <si>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</si>
  <si>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</si>
  <si>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</si>
  <si>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</si>
  <si>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</si>
  <si>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</si>
  <si>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</si>
  <si>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</si>
  <si>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</si>
  <si>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</si>
  <si>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</si>
  <si>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</si>
  <si>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</si>
  <si>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</si>
  <si>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</si>
  <si>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</si>
  <si>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</si>
  <si>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</si>
  <si>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</si>
  <si>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</si>
  <si>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</si>
  <si>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</si>
  <si>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</si>
  <si>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</si>
  <si>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</si>
  <si>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</si>
  <si>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</si>
  <si>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</si>
  <si>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</si>
  <si>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</si>
  <si>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</si>
  <si>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</si>
  <si>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</si>
  <si>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</si>
  <si>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</si>
  <si>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</si>
  <si>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</si>
  <si>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</si>
  <si>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</si>
  <si>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</si>
  <si>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</si>
  <si>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</si>
  <si>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</si>
  <si>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</si>
  <si>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</si>
  <si>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</si>
  <si>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</si>
  <si>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</si>
  <si>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</si>
  <si>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</si>
  <si>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</si>
  <si>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</si>
  <si>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</si>
  <si>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</si>
  <si>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</si>
  <si>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</si>
  <si>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</si>
  <si>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</si>
  <si>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</si>
  <si>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</si>
  <si>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</si>
  <si>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</si>
  <si>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</si>
  <si>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</si>
  <si>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</si>
  <si>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</si>
  <si>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</si>
  <si>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</si>
  <si>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</si>
  <si>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</si>
  <si>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</si>
  <si>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</si>
  <si>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</si>
  <si>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</si>
  <si>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</si>
  <si>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</si>
  <si>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</si>
  <si>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</si>
  <si>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</si>
  <si>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</si>
  <si>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</si>
  <si>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</si>
  <si>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</si>
  <si>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</si>
  <si>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</si>
  <si>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</si>
  <si>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</si>
  <si>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</si>
  <si>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</si>
  <si>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</si>
  <si>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</si>
  <si>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</si>
  <si>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</si>
  <si>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</si>
  <si>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</si>
  <si>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</si>
  <si>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</si>
  <si>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</si>
  <si>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</si>
  <si>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</si>
  <si>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</si>
  <si>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</si>
  <si>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</si>
  <si>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</si>
  <si>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</si>
  <si>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</si>
  <si>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</si>
  <si>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</si>
  <si>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</si>
  <si>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</si>
  <si>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</si>
  <si>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</si>
  <si>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</si>
  <si>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</si>
  <si>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</si>
  <si>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</si>
  <si>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</si>
  <si>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</si>
  <si>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</si>
  <si>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</si>
  <si>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</si>
  <si>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</si>
  <si>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</si>
  <si>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</si>
  <si>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</si>
  <si>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</si>
  <si>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</si>
  <si>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</si>
  <si>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</si>
  <si>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</si>
  <si>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</si>
  <si>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</si>
  <si>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</si>
  <si>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</si>
  <si>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</si>
  <si>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</si>
  <si>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</si>
  <si>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</si>
  <si>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</si>
  <si>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</si>
  <si>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</si>
  <si>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</si>
  <si>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</si>
  <si>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</si>
  <si>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</si>
  <si>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</si>
  <si>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</si>
  <si>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</si>
  <si>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</si>
  <si>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</si>
  <si>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</si>
  <si>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</si>
  <si>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</si>
  <si>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</si>
  <si>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</si>
  <si>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</si>
  <si>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</si>
  <si>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</si>
  <si>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</si>
  <si>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</si>
  <si>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</si>
  <si>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</si>
  <si>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</si>
  <si>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</si>
  <si>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</si>
  <si>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</si>
  <si>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</si>
  <si>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</si>
  <si>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</si>
  <si>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</si>
  <si>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</si>
  <si>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</si>
  <si>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</si>
  <si>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</si>
  <si>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</si>
  <si>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</si>
  <si>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</si>
  <si>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</si>
  <si>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</si>
  <si>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</si>
  <si>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</si>
  <si>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</si>
  <si>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</si>
  <si>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</si>
  <si>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</si>
  <si>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</si>
  <si>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</si>
  <si>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</si>
  <si>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</si>
  <si>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</si>
  <si>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</si>
  <si>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</si>
  <si>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</si>
  <si>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</si>
  <si>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</si>
  <si>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</si>
  <si>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</si>
  <si>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</si>
  <si>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</si>
  <si>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</si>
  <si>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</si>
  <si>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</si>
  <si>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</si>
  <si>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</si>
  <si>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</si>
  <si>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</si>
  <si>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</si>
  <si>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</si>
  <si>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</si>
  <si>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</si>
  <si>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</si>
  <si>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</si>
  <si>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</si>
  <si>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</si>
  <si>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</si>
  <si>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</si>
  <si>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</si>
  <si>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</si>
  <si>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</si>
  <si>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</si>
  <si>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</si>
  <si>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</si>
  <si>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</si>
  <si>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</si>
  <si>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</si>
  <si>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</si>
  <si>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</si>
  <si>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</si>
  <si>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</si>
  <si>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</si>
  <si>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</si>
  <si>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</si>
  <si>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</si>
  <si>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</si>
  <si>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</si>
  <si>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</si>
  <si>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</si>
  <si>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</si>
  <si>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</si>
  <si>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</si>
  <si>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</si>
  <si>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</si>
  <si>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</si>
  <si>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</si>
  <si>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</si>
  <si>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</si>
  <si>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</si>
  <si>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</si>
  <si>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</si>
  <si>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</si>
  <si>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</si>
  <si>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</si>
  <si>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</si>
  <si>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</si>
  <si>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</si>
  <si>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</si>
  <si>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</si>
  <si>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</si>
  <si>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</si>
  <si>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</si>
  <si>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</si>
  <si>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</si>
  <si>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</si>
  <si>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</si>
  <si>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</si>
  <si>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</si>
  <si>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</si>
  <si>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</si>
  <si>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</si>
  <si>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</si>
  <si>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</si>
  <si>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</si>
  <si>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</si>
  <si>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</si>
  <si>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</si>
  <si>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</si>
  <si>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</si>
  <si>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</si>
  <si>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</si>
  <si>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</si>
  <si>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</si>
  <si>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</si>
  <si>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</si>
  <si>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</si>
  <si>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</si>
  <si>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</si>
  <si>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</si>
  <si>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</si>
  <si>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</si>
  <si>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</si>
  <si>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</si>
  <si>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</si>
  <si>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</si>
  <si>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</si>
  <si>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</si>
  <si>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</si>
  <si>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</si>
  <si>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</si>
  <si>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</si>
  <si>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</si>
  <si>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</si>
  <si>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</si>
  <si>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</si>
  <si>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</si>
  <si>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</si>
  <si>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</si>
  <si>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</si>
  <si>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</si>
  <si>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</si>
  <si>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</si>
  <si>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</si>
  <si>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</si>
  <si>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</si>
  <si>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</si>
  <si>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</si>
  <si>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</si>
  <si>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</si>
  <si>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</si>
  <si>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</si>
  <si>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</si>
  <si>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</si>
  <si>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</si>
  <si>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</si>
  <si>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</si>
  <si>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</si>
  <si>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</si>
  <si>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</si>
  <si>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</si>
  <si>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</si>
  <si>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</si>
  <si>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</si>
  <si>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</si>
  <si>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</si>
  <si>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</si>
  <si>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</si>
  <si>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</si>
  <si>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</si>
  <si>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</si>
  <si>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</si>
  <si>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</si>
  <si>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</si>
  <si>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</si>
  <si>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</si>
  <si>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</si>
  <si>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</si>
  <si>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</si>
  <si>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</si>
  <si>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</si>
  <si>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</si>
  <si>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</si>
  <si>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</si>
  <si>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</si>
  <si>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</si>
  <si>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</si>
  <si>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</si>
  <si>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</si>
  <si>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</si>
  <si>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</si>
  <si>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</si>
  <si>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</si>
  <si>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</si>
  <si>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</si>
  <si>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</si>
  <si>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</si>
  <si>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</si>
  <si>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</si>
  <si>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</si>
  <si>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</si>
  <si>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</si>
  <si>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</si>
  <si>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</si>
  <si>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</si>
  <si>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</si>
  <si>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</si>
  <si>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</si>
  <si>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</si>
  <si>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</si>
  <si>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</si>
  <si>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</si>
  <si>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</si>
  <si>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</si>
  <si>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</si>
  <si>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</si>
  <si>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</si>
  <si>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</si>
  <si>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</si>
  <si>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</si>
  <si>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</si>
  <si>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</si>
  <si>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</si>
  <si>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</si>
  <si>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</si>
  <si>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</si>
  <si>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</si>
  <si>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</si>
  <si>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</si>
  <si>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</si>
  <si>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</si>
  <si>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</si>
  <si>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</si>
  <si>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</si>
  <si>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</si>
  <si>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</si>
  <si>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</si>
  <si>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</si>
  <si>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</si>
  <si>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</si>
  <si>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</si>
  <si>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</si>
  <si>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</si>
  <si>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</si>
  <si>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</si>
  <si>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</si>
  <si>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</si>
  <si>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</si>
  <si>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</si>
  <si>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</si>
  <si>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</si>
  <si>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</si>
  <si>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</si>
  <si>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</si>
  <si>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</si>
  <si>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</si>
  <si>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</si>
  <si>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</si>
  <si>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</si>
  <si>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</si>
  <si>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</si>
  <si>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</si>
  <si>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</si>
  <si>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</si>
  <si>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</si>
  <si>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</si>
  <si>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</si>
  <si>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</si>
  <si>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</si>
  <si>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</si>
  <si>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</si>
  <si>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</si>
  <si>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</si>
  <si>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</si>
  <si>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</si>
  <si>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</si>
  <si>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</si>
  <si>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</si>
  <si>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</si>
  <si>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</si>
  <si>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</si>
  <si>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</si>
  <si>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</si>
  <si>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</si>
  <si>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</si>
  <si>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</si>
  <si>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</si>
  <si>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</si>
  <si>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</si>
  <si>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</si>
  <si>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</si>
  <si>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</si>
  <si>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</si>
  <si>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</si>
  <si>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</si>
  <si>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</si>
  <si>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</si>
  <si>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</si>
  <si>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</si>
  <si>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</si>
  <si>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</si>
  <si>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</si>
  <si>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</si>
  <si>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</si>
  <si>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</si>
  <si>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</si>
  <si>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</si>
  <si>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</si>
  <si>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</si>
  <si>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</si>
  <si>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</si>
  <si>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</si>
  <si>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</si>
  <si>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</si>
  <si>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</si>
  <si>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</si>
  <si>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</si>
  <si>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</si>
  <si>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</si>
  <si>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</si>
  <si>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</si>
  <si>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</si>
  <si>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</si>
  <si>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</si>
  <si>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</si>
  <si>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</si>
  <si>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</si>
  <si>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</si>
  <si>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</si>
  <si>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</si>
  <si>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</si>
  <si>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</si>
  <si>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</si>
  <si>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</si>
  <si>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</si>
  <si>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</si>
  <si>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</si>
  <si>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</si>
  <si>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</si>
  <si>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</si>
  <si>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</si>
  <si>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</si>
  <si>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</si>
  <si>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</si>
  <si>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</si>
  <si>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</si>
  <si>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</si>
  <si>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</si>
  <si>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</si>
  <si>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</si>
  <si>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</si>
  <si>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</si>
  <si>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</si>
  <si>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</si>
  <si>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</si>
  <si>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</si>
  <si>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</si>
  <si>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</si>
  <si>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</si>
  <si>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</si>
  <si>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</si>
  <si>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</si>
  <si>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</si>
  <si>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</si>
  <si>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</si>
  <si>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</si>
  <si>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</si>
  <si>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</si>
  <si>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</si>
  <si>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</si>
  <si>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</si>
  <si>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</si>
  <si>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</si>
  <si>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</si>
  <si>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</si>
  <si>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</si>
  <si>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</si>
  <si>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</si>
  <si>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</si>
  <si>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</si>
  <si>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</si>
  <si>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</si>
  <si>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</si>
  <si>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</si>
  <si>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</si>
  <si>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</si>
  <si>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</si>
  <si>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</si>
  <si>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</si>
  <si>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</si>
  <si>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</si>
  <si>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</si>
  <si>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</si>
  <si>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</si>
  <si>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</si>
  <si>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</si>
  <si>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</si>
  <si>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</si>
  <si>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</si>
  <si>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</si>
  <si>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</si>
  <si>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</si>
  <si>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</si>
  <si>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</si>
  <si>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</si>
  <si>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</si>
  <si>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</si>
  <si>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</si>
  <si>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</si>
  <si>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</si>
  <si>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</si>
  <si>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</si>
  <si>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</si>
  <si>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</si>
  <si>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</si>
  <si>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</si>
  <si>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</si>
  <si>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</si>
  <si>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</si>
  <si>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</si>
  <si>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</si>
  <si>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</si>
  <si>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</si>
  <si>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</si>
  <si>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</si>
  <si>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</si>
  <si>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</si>
  <si>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</si>
  <si>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</si>
  <si>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</si>
  <si>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</si>
  <si>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</si>
  <si>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</si>
  <si>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</si>
  <si>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</si>
  <si>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</si>
  <si>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</si>
  <si>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</si>
  <si>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</si>
  <si>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</si>
  <si>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</si>
  <si>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</si>
  <si>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</si>
  <si>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</si>
  <si>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</si>
  <si>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</si>
  <si>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</si>
  <si>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</si>
  <si>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</si>
  <si>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</si>
  <si>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</si>
  <si>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</si>
  <si>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</si>
  <si>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</si>
  <si>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</si>
  <si>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</si>
  <si>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</si>
  <si>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</si>
  <si>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</si>
  <si>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</si>
  <si>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</si>
  <si>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</si>
  <si>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</si>
  <si>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</si>
  <si>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</si>
  <si>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</si>
  <si>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</si>
  <si>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</si>
  <si>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</si>
  <si>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</si>
  <si>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</si>
  <si>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</si>
  <si>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</si>
  <si>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</si>
  <si>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</si>
  <si>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</si>
  <si>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</si>
  <si>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</si>
  <si>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</si>
  <si>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</si>
  <si>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</si>
  <si>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</si>
  <si>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</si>
  <si>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</si>
  <si>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</si>
  <si>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</si>
  <si>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</si>
  <si>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</si>
  <si>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</si>
  <si>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</si>
  <si>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</si>
  <si>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</si>
  <si>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</si>
  <si>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</si>
  <si>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</si>
  <si>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</si>
  <si>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</si>
  <si>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</si>
  <si>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</si>
  <si>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</si>
  <si>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</si>
  <si>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</si>
  <si>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</si>
  <si>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</si>
  <si>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</si>
  <si>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</si>
  <si>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</si>
  <si>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</si>
  <si>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</si>
  <si>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</si>
  <si>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</si>
  <si>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</si>
  <si>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</si>
  <si>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</si>
  <si>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</si>
  <si>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</si>
  <si>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</si>
  <si>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</si>
  <si>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</si>
  <si>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</si>
  <si>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</si>
  <si>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</si>
  <si>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</si>
  <si>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</si>
  <si>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</si>
  <si>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</si>
  <si>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</si>
  <si>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</si>
  <si>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</si>
  <si>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</si>
  <si>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</si>
  <si>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</si>
  <si>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</si>
  <si>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</si>
  <si>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</si>
  <si>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</si>
  <si>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</si>
  <si>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</si>
  <si>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</si>
  <si>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</si>
  <si>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</si>
  <si>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</si>
  <si>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</si>
  <si>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</si>
  <si>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</si>
  <si>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</si>
  <si>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</si>
  <si>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</si>
  <si>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</si>
  <si>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</si>
  <si>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</si>
  <si>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</si>
  <si>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</si>
  <si>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</si>
  <si>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</si>
  <si>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</si>
  <si>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</si>
  <si>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</si>
  <si>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</si>
  <si>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</si>
  <si>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</si>
  <si>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</si>
  <si>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</si>
  <si>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</si>
  <si>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</si>
  <si>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</si>
  <si>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</si>
  <si>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</si>
  <si>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</si>
  <si>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</si>
  <si>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</si>
  <si>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</si>
  <si>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</si>
  <si>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</si>
  <si>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</si>
  <si>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</si>
  <si>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</si>
  <si>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</si>
  <si>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</si>
  <si>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</si>
  <si>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</si>
  <si>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</si>
  <si>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</si>
  <si>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</si>
  <si>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</si>
  <si>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</si>
  <si>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</si>
  <si>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</si>
  <si>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</si>
  <si>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</si>
  <si>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</si>
  <si>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</si>
  <si>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</si>
  <si>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</si>
  <si>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</si>
  <si>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</si>
  <si>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</si>
  <si>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</si>
  <si>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</si>
  <si>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</si>
  <si>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</si>
  <si>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</si>
  <si>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</si>
  <si>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</si>
  <si>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</si>
  <si>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</si>
  <si>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</si>
  <si>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</si>
  <si>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</si>
  <si>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</si>
  <si>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</si>
  <si>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</si>
  <si>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</si>
  <si>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</si>
  <si>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</si>
  <si>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</si>
  <si>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</si>
  <si>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</si>
  <si>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</si>
  <si>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</si>
  <si>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</si>
  <si>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</si>
  <si>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</si>
  <si>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</si>
  <si>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</si>
  <si>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</si>
  <si>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</si>
  <si>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</si>
  <si>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</si>
  <si>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</si>
  <si>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</si>
  <si>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</si>
  <si>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</si>
  <si>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</si>
  <si>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</si>
  <si>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</si>
  <si>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</si>
  <si>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</si>
  <si>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</si>
  <si>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</si>
  <si>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</si>
  <si>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</si>
  <si>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</si>
  <si>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</si>
  <si>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</si>
  <si>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</si>
  <si>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</si>
  <si>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</si>
  <si>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</si>
  <si>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</si>
  <si>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</si>
  <si>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</si>
  <si>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</si>
  <si>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</si>
  <si>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</si>
  <si>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</si>
  <si>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</si>
  <si>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</si>
  <si>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</si>
  <si>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</si>
  <si>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</si>
  <si>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</si>
  <si>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</si>
  <si>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</si>
  <si>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</si>
  <si>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</si>
  <si>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</si>
  <si>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</si>
  <si>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</si>
  <si>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</si>
  <si>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</si>
  <si>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</si>
  <si>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</si>
  <si>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</si>
  <si>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</si>
  <si>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</si>
  <si>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</si>
  <si>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</si>
  <si>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</si>
  <si>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</si>
  <si>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</si>
  <si>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</si>
  <si>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</si>
  <si>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</si>
  <si>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</si>
  <si>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</si>
  <si>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</si>
  <si>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</si>
  <si>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</si>
  <si>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</si>
  <si>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</si>
  <si>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</si>
  <si>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</si>
  <si>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</si>
  <si>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</si>
  <si>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</si>
  <si>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</si>
  <si>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</si>
  <si>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</si>
  <si>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</si>
  <si>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</si>
  <si>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</si>
  <si>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</si>
  <si>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</si>
  <si>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</si>
  <si>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</si>
  <si>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</si>
  <si>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</si>
  <si>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</si>
  <si>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</si>
  <si>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</si>
  <si>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</si>
  <si>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</si>
  <si>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</si>
  <si>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</si>
  <si>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</si>
  <si>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</si>
  <si>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</si>
  <si>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</si>
  <si>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</si>
  <si>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</si>
  <si>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</si>
  <si>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</si>
  <si>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</si>
  <si>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</si>
  <si>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</si>
  <si>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</si>
  <si>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</si>
  <si>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</si>
  <si>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</si>
  <si>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</si>
  <si>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</si>
  <si>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</si>
  <si>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</si>
  <si>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</si>
  <si>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</si>
  <si>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</si>
  <si>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</si>
  <si>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</si>
  <si>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</si>
  <si>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</si>
  <si>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</si>
  <si>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</si>
  <si>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</si>
  <si>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</si>
  <si>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</si>
  <si>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</si>
  <si>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</si>
  <si>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</si>
  <si>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</si>
  <si>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</si>
  <si>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</si>
  <si>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</si>
  <si>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</si>
  <si>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</si>
  <si>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</si>
  <si>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</si>
  <si>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</si>
  <si>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</si>
  <si>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</si>
  <si>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</si>
  <si>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</si>
  <si>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</si>
  <si>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</si>
  <si>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</si>
  <si>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</si>
  <si>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</si>
  <si>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</si>
  <si>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</si>
  <si>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</si>
  <si>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</si>
  <si>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</si>
  <si>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</si>
  <si>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</si>
  <si>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</si>
  <si>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</si>
  <si>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</si>
  <si>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</si>
  <si>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</si>
  <si>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</si>
  <si>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</si>
  <si>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</si>
  <si>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</si>
  <si>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</si>
  <si>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</si>
  <si>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</si>
  <si>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</si>
  <si>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</si>
  <si>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</si>
  <si>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</si>
  <si>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</si>
  <si>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</si>
  <si>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</si>
  <si>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</si>
  <si>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</si>
  <si>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</si>
  <si>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</si>
  <si>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</si>
  <si>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</si>
  <si>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</si>
  <si>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</si>
  <si>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</si>
  <si>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</si>
  <si>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</si>
  <si>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</si>
  <si>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</si>
  <si>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</si>
  <si>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</si>
  <si>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</si>
  <si>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</si>
  <si>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</si>
  <si>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</si>
  <si>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</si>
  <si>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</si>
  <si>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</si>
  <si>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</si>
  <si>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</si>
  <si>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</si>
  <si>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</si>
  <si>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</si>
  <si>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</si>
  <si>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</si>
  <si>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</si>
  <si>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</si>
  <si>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</si>
  <si>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</si>
  <si>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</si>
  <si>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</si>
  <si>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</si>
  <si>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</si>
  <si>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</si>
  <si>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</si>
  <si>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</si>
  <si>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</si>
  <si>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</si>
  <si>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</si>
  <si>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</si>
  <si>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</si>
  <si>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</si>
  <si>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</si>
  <si>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</si>
  <si>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</si>
  <si>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</si>
  <si>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</si>
  <si>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</si>
  <si>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</si>
  <si>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</si>
  <si>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</si>
  <si>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</si>
  <si>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</si>
  <si>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</si>
  <si>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</si>
  <si>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</si>
  <si>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</si>
  <si>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</si>
  <si>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</si>
  <si>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</si>
  <si>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</si>
  <si>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</si>
  <si>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</si>
  <si>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</si>
  <si>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</si>
  <si>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</si>
  <si>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</si>
  <si>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</si>
  <si>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</si>
  <si>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</si>
  <si>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</si>
  <si>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</si>
  <si>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</si>
  <si>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</si>
  <si>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</si>
  <si>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</si>
  <si>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</si>
  <si>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</si>
  <si>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</si>
  <si>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</si>
  <si>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</si>
  <si>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</si>
  <si>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</si>
  <si>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</si>
  <si>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</si>
  <si>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</si>
  <si>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</si>
  <si>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</si>
  <si>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</si>
  <si>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</si>
  <si>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</si>
  <si>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</si>
  <si>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</si>
  <si>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</si>
  <si>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</si>
  <si>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</si>
  <si>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</si>
  <si>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</si>
  <si>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</si>
  <si>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</si>
  <si>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</si>
  <si>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</si>
  <si>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</si>
  <si>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</si>
  <si>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</si>
  <si>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</si>
  <si>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</si>
  <si>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</si>
  <si>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</si>
  <si>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</si>
  <si>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</si>
  <si>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</si>
  <si>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</si>
  <si>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</si>
  <si>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</si>
  <si>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</si>
  <si>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</si>
  <si>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</si>
  <si>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</si>
  <si>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</si>
  <si>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</si>
  <si>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</si>
  <si>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</si>
  <si>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</si>
  <si>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</si>
  <si>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</si>
  <si>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</si>
  <si>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</si>
  <si>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</si>
  <si>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</si>
  <si>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</si>
  <si>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</si>
  <si>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</si>
  <si>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</si>
  <si>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</si>
  <si>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</si>
  <si>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</si>
  <si>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</si>
  <si>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</si>
  <si>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</si>
  <si>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</si>
  <si>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</si>
  <si>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</si>
  <si>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</si>
  <si>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</si>
  <si>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</si>
  <si>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</si>
  <si>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</si>
  <si>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</si>
  <si>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</si>
  <si>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</si>
  <si>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</si>
  <si>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</si>
  <si>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</si>
  <si>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</si>
  <si>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</si>
  <si>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</si>
  <si>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</si>
  <si>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</si>
  <si>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</si>
  <si>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</si>
  <si>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</si>
  <si>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</si>
  <si>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</si>
  <si>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</si>
  <si>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</si>
  <si>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</si>
  <si>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</si>
  <si>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</si>
  <si>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</si>
  <si>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</si>
  <si>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</si>
  <si>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</si>
  <si>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</si>
  <si>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</si>
  <si>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</si>
  <si>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</si>
  <si>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</si>
  <si>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</si>
  <si>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</si>
  <si>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</si>
  <si>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</si>
  <si>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</si>
  <si>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</si>
  <si>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</si>
  <si>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</si>
  <si>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</si>
  <si>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</si>
  <si>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</si>
  <si>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</si>
  <si>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</si>
  <si>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</si>
  <si>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</si>
  <si>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</si>
  <si>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</si>
  <si>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</si>
  <si>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</si>
  <si>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</si>
  <si>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</si>
  <si>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</si>
  <si>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</si>
  <si>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</si>
  <si>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</si>
  <si>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</si>
  <si>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</si>
  <si>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</si>
  <si>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</si>
  <si>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</si>
  <si>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</si>
  <si>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</si>
  <si>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</si>
  <si>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</si>
  <si>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</si>
  <si>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</si>
  <si>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</si>
  <si>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</si>
  <si>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</si>
  <si>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</si>
  <si>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</si>
  <si>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</si>
  <si>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</si>
  <si>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</si>
  <si>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</si>
  <si>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</si>
  <si>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</si>
  <si>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</si>
  <si>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</si>
  <si>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</si>
  <si>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</si>
  <si>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</si>
  <si>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</si>
  <si>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</si>
  <si>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</si>
  <si>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</si>
  <si>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</si>
  <si>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</si>
  <si>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</si>
  <si>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</si>
  <si>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</si>
  <si>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</si>
  <si>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</si>
  <si>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</si>
  <si>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</si>
  <si>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</si>
  <si>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</si>
  <si>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</si>
  <si>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</si>
  <si>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</si>
  <si>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</si>
  <si>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</si>
  <si>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</si>
  <si>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</si>
  <si>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</si>
  <si>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</si>
  <si>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</si>
  <si>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</si>
  <si>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</si>
  <si>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</si>
  <si>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</si>
  <si>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</si>
  <si>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</si>
  <si>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</si>
  <si>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</si>
  <si>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</si>
  <si>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</si>
  <si>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</si>
  <si>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</si>
  <si>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</si>
  <si>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</si>
  <si>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</si>
  <si>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</si>
  <si>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</si>
  <si>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</si>
  <si>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</si>
  <si>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</si>
  <si>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</si>
  <si>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</si>
  <si>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</si>
  <si>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</si>
  <si>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</si>
  <si>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</si>
  <si>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</si>
  <si>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</si>
  <si>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</si>
  <si>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</si>
  <si>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</si>
  <si>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</si>
  <si>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</si>
  <si>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</si>
  <si>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</si>
  <si>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</si>
  <si>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</si>
  <si>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</si>
  <si>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</si>
  <si>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</si>
  <si>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</si>
  <si>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</si>
  <si>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</si>
  <si>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</si>
  <si>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</si>
  <si>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</si>
  <si>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</si>
  <si>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</si>
  <si>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</si>
  <si>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</si>
  <si>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</si>
  <si>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</si>
  <si>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</si>
  <si>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</si>
  <si>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</si>
  <si>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</si>
  <si>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</si>
  <si>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</si>
  <si>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</si>
  <si>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</si>
  <si>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</si>
  <si>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</si>
  <si>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</si>
  <si>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</si>
  <si>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</si>
  <si>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</si>
  <si>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</si>
  <si>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</si>
  <si>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</si>
  <si>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</si>
  <si>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</si>
  <si>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</si>
  <si>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</si>
  <si>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</si>
  <si>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</si>
  <si>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</si>
  <si>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</si>
  <si>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</si>
  <si>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</si>
  <si>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</si>
  <si>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</si>
  <si>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</si>
  <si>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</si>
  <si>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</si>
  <si>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</si>
  <si>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</si>
  <si>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</si>
  <si>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</si>
  <si>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</si>
  <si>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</si>
  <si>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</si>
  <si>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</si>
  <si>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</si>
  <si>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</si>
  <si>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</si>
  <si>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</si>
  <si>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</si>
  <si>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</si>
  <si>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</si>
  <si>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</si>
  <si>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</si>
  <si>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</si>
  <si>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</si>
  <si>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</si>
  <si>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</si>
  <si>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</si>
  <si>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</si>
  <si>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</si>
  <si>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</si>
  <si>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</si>
  <si>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</si>
  <si>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</si>
  <si>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</si>
  <si>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</si>
  <si>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</si>
  <si>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</si>
  <si>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</si>
  <si>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</si>
  <si>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</si>
  <si>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</si>
  <si>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</si>
  <si>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</si>
  <si>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</si>
  <si>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</si>
  <si>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</si>
  <si>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</si>
  <si>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</si>
  <si>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</si>
  <si>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</si>
  <si>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</si>
  <si>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</si>
  <si>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</si>
  <si>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</si>
  <si>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</si>
  <si>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</si>
  <si>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</si>
  <si>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</si>
  <si>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</si>
  <si>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</si>
  <si>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</si>
  <si>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</si>
  <si>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</si>
  <si>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</si>
  <si>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</si>
  <si>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</si>
  <si>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</si>
  <si>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</si>
  <si>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</si>
  <si>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</si>
  <si>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</si>
  <si>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</si>
  <si>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</si>
  <si>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</si>
  <si>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</si>
  <si>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</si>
  <si>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</si>
  <si>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</si>
  <si>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</si>
  <si>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</si>
  <si>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</si>
  <si>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</si>
  <si>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</si>
  <si>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</si>
  <si>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</si>
  <si>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</si>
  <si>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</si>
  <si>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</si>
  <si>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</si>
  <si>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</si>
  <si>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</si>
  <si>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</si>
  <si>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</si>
  <si>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</si>
  <si>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</si>
  <si>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</si>
  <si>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</si>
  <si>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</si>
  <si>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</si>
  <si>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</si>
  <si>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</si>
  <si>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</si>
  <si>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</si>
  <si>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</si>
  <si>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</si>
  <si>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</si>
  <si>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</si>
  <si>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</si>
  <si>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</si>
  <si>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</si>
  <si>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</si>
  <si>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</si>
  <si>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</si>
  <si>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</si>
  <si>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</si>
  <si>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</si>
  <si>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</si>
  <si>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</si>
  <si>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</si>
  <si>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</si>
  <si>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</si>
  <si>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</si>
  <si>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</si>
  <si>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</si>
  <si>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</si>
  <si>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</si>
  <si>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</si>
  <si>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</si>
  <si>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</si>
  <si>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</si>
  <si>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</si>
  <si>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</si>
  <si>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</si>
  <si>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</si>
  <si>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</si>
  <si>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</si>
  <si>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</si>
  <si>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</si>
  <si>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</si>
  <si>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</si>
  <si>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</si>
  <si>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</si>
  <si>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</si>
  <si>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</si>
  <si>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</si>
  <si>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</si>
  <si>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</si>
  <si>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</si>
  <si>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</si>
  <si>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</si>
  <si>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</si>
  <si>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</si>
  <si>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</si>
  <si>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</si>
  <si>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</si>
  <si>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</si>
  <si>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</si>
  <si>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</si>
  <si>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</si>
  <si>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</si>
  <si>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</si>
  <si>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</si>
  <si>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</si>
  <si>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</si>
  <si>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</si>
  <si>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</si>
  <si>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</si>
  <si>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</si>
  <si>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</si>
  <si>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</si>
  <si>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</si>
  <si>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</si>
  <si>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</si>
  <si>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</si>
  <si>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</si>
  <si>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</si>
  <si>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</si>
  <si>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</si>
  <si>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</si>
  <si>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</si>
  <si>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</si>
  <si>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</si>
  <si>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</si>
  <si>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</si>
  <si>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</si>
  <si>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</si>
  <si>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</si>
  <si>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</si>
  <si>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</si>
  <si>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</si>
  <si>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</si>
  <si>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</si>
  <si>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</si>
  <si>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</si>
  <si>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</si>
  <si>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</si>
  <si>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</si>
  <si>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</si>
  <si>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</si>
  <si>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</si>
  <si>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</si>
  <si>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</si>
  <si>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</si>
  <si>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</si>
  <si>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</si>
  <si>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</si>
  <si>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</si>
  <si>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</si>
  <si>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</si>
  <si>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</si>
  <si>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</si>
  <si>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</si>
  <si>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</si>
  <si>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</si>
  <si>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</si>
  <si>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</si>
  <si>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</si>
  <si>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</si>
  <si>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</si>
  <si>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</si>
  <si>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</si>
  <si>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</si>
  <si>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</si>
  <si>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</si>
  <si>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</si>
  <si>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</si>
  <si>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</si>
  <si>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</si>
  <si>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</si>
  <si>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</si>
  <si>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</si>
  <si>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</si>
  <si>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</si>
  <si>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</si>
  <si>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</si>
  <si>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</si>
  <si>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</si>
  <si>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</si>
  <si>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</si>
  <si>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</si>
  <si>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</si>
  <si>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</si>
  <si>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</si>
  <si>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</si>
  <si>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</si>
  <si>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</si>
  <si>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</si>
  <si>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</si>
  <si>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</si>
  <si>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</si>
  <si>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</si>
  <si>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</si>
  <si>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</si>
  <si>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</si>
  <si>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</si>
  <si>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</si>
  <si>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</si>
  <si>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</si>
  <si>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</si>
  <si>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</si>
  <si>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</si>
  <si>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</si>
  <si>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</si>
  <si>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</si>
  <si>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</si>
  <si>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</si>
  <si>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</si>
  <si>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</si>
  <si>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</si>
  <si>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</si>
  <si>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</si>
  <si>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</si>
  <si>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</si>
  <si>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</si>
  <si>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</si>
  <si>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</si>
  <si>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</si>
  <si>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</si>
  <si>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</si>
  <si>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</si>
  <si>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</si>
  <si>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</si>
  <si>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</si>
  <si>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</si>
  <si>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</si>
  <si>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</si>
  <si>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</si>
  <si>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</si>
  <si>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</si>
  <si>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</si>
  <si>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</si>
  <si>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</si>
  <si>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</si>
  <si>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</si>
  <si>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</si>
  <si>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</si>
  <si>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</si>
  <si>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</si>
  <si>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</si>
  <si>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</si>
  <si>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</si>
  <si>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</si>
  <si>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</si>
  <si>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</si>
  <si>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</si>
  <si>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</si>
  <si>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</si>
  <si>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</si>
  <si>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</si>
  <si>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</si>
  <si>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</si>
  <si>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</si>
  <si>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</si>
  <si>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</si>
  <si>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</si>
  <si>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</si>
  <si>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</si>
  <si>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</si>
  <si>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</si>
  <si>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</si>
  <si>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</si>
  <si>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</si>
  <si>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</si>
  <si>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</si>
  <si>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</si>
  <si>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</si>
  <si>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</si>
  <si>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</si>
  <si>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</si>
  <si>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</si>
  <si>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</si>
  <si>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</si>
  <si>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</si>
  <si>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</si>
  <si>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</si>
  <si>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</si>
  <si>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</si>
  <si>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</si>
  <si>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</si>
  <si>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</si>
  <si>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</si>
  <si>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</si>
  <si>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</si>
  <si>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</si>
  <si>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</si>
  <si>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</si>
  <si>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</si>
  <si>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</si>
  <si>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</si>
  <si>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</si>
  <si>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</si>
  <si>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</si>
  <si>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</si>
  <si>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</si>
  <si>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</si>
  <si>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</si>
  <si>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</si>
  <si>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</si>
  <si>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</si>
  <si>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</si>
  <si>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</si>
  <si>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</si>
  <si>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</si>
  <si>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</si>
  <si>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</si>
  <si>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</si>
  <si>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</si>
  <si>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</si>
  <si>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</si>
  <si>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</si>
  <si>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</si>
  <si>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</si>
  <si>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</si>
  <si>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</si>
  <si>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</si>
  <si>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</si>
  <si>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</si>
  <si>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</si>
  <si>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</si>
  <si>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</si>
  <si>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</si>
  <si>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</si>
  <si>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</si>
  <si>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</si>
  <si>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</si>
  <si>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</si>
  <si>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</si>
  <si>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</si>
  <si>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</si>
  <si>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</si>
  <si>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</si>
  <si>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</si>
  <si>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</si>
  <si>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</si>
  <si>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</si>
  <si>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</si>
  <si>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</si>
  <si>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</si>
  <si>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</si>
  <si>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</si>
  <si>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</si>
  <si>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</si>
  <si>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</si>
  <si>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</si>
  <si>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</si>
  <si>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</si>
  <si>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</si>
  <si>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</si>
  <si>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</si>
  <si>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</si>
  <si>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</si>
  <si>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</si>
  <si>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</si>
  <si>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</si>
  <si>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</si>
  <si>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</si>
  <si>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</si>
  <si>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</si>
  <si>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</si>
  <si>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</si>
  <si>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</si>
  <si>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</si>
  <si>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</si>
  <si>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</si>
  <si>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</si>
  <si>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</si>
  <si>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</si>
  <si>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</si>
  <si>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</si>
  <si>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</si>
  <si>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</si>
  <si>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</si>
  <si>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</si>
  <si>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</si>
  <si>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</si>
  <si>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</si>
  <si>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</si>
  <si>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</si>
  <si>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</si>
  <si>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</si>
  <si>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</si>
  <si>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</si>
  <si>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</si>
  <si>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</si>
  <si>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</si>
  <si>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</si>
  <si>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</si>
  <si>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</si>
  <si>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</si>
  <si>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</si>
  <si>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</si>
  <si>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</si>
  <si>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</si>
  <si>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</si>
  <si>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</si>
  <si>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</si>
  <si>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</si>
  <si>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</si>
  <si>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</si>
  <si>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</si>
  <si>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</si>
  <si>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</si>
  <si>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</si>
  <si>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</si>
  <si>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</si>
  <si>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</si>
  <si>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</si>
  <si>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</si>
  <si>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</si>
  <si>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</si>
  <si>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</si>
  <si>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</si>
  <si>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</si>
  <si>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</si>
  <si>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</si>
  <si>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</si>
  <si>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</si>
  <si>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</si>
  <si>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</si>
  <si>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</si>
  <si>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</si>
  <si>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</si>
  <si>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</si>
  <si>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</si>
  <si>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</si>
  <si>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</si>
  <si>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</si>
  <si>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</si>
  <si>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</si>
  <si>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</si>
  <si>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</si>
  <si>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</si>
  <si>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</si>
  <si>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</si>
  <si>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</si>
  <si>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</si>
  <si>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</si>
  <si>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</si>
  <si>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</si>
  <si>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</si>
  <si>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</si>
  <si>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</si>
  <si>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</si>
  <si>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</si>
  <si>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</si>
  <si>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</si>
  <si>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</si>
  <si>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</si>
  <si>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</si>
  <si>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</si>
  <si>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</si>
  <si>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</si>
  <si>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</si>
  <si>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</si>
  <si>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</si>
  <si>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</si>
  <si>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</si>
  <si>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</si>
  <si>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</si>
  <si>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</si>
  <si>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</si>
  <si>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</si>
  <si>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</si>
  <si>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</si>
  <si>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</si>
  <si>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</si>
  <si>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</si>
  <si>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</si>
  <si>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</si>
  <si>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</si>
  <si>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</si>
  <si>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</si>
  <si>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</si>
  <si>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</si>
  <si>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</si>
  <si>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</si>
  <si>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</si>
  <si>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</si>
  <si>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</si>
  <si>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</si>
  <si>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</si>
  <si>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</si>
  <si>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</si>
  <si>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</si>
  <si>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</si>
  <si>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</si>
  <si>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</si>
  <si>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</si>
  <si>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</si>
  <si>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</si>
  <si>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</si>
  <si>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</si>
  <si>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</si>
  <si>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</si>
  <si>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</si>
  <si>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</si>
  <si>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</si>
  <si>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</si>
  <si>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</si>
  <si>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</si>
  <si>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</si>
  <si>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</si>
  <si>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</si>
  <si>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</si>
  <si>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</si>
  <si>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</si>
  <si>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</si>
  <si>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</si>
  <si>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</si>
  <si>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</si>
  <si>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</si>
  <si>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</si>
  <si>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</si>
  <si>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</si>
  <si>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</si>
  <si>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</si>
  <si>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</si>
  <si>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</si>
  <si>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</si>
  <si>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</si>
  <si>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</si>
  <si>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</si>
  <si>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</si>
  <si>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</si>
  <si>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</si>
  <si>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</si>
  <si>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</si>
  <si>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</si>
  <si>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</si>
  <si>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</si>
  <si>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</si>
  <si>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</si>
  <si>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</si>
  <si>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</si>
  <si>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</si>
  <si>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</si>
  <si>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</si>
  <si>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</si>
  <si>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</si>
  <si>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</si>
  <si>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</si>
  <si>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</si>
  <si>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</si>
  <si>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</si>
  <si>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</si>
  <si>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</si>
  <si>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</si>
  <si>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</si>
  <si>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</si>
  <si>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</si>
  <si>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</si>
  <si>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</si>
  <si>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</si>
  <si>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</si>
  <si>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</si>
  <si>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</si>
  <si>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</si>
  <si>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</si>
  <si>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</si>
  <si>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</si>
  <si>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</si>
  <si>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</si>
  <si>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</si>
  <si>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</si>
  <si>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</si>
  <si>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</si>
  <si>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</si>
  <si>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</si>
  <si>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</si>
  <si>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</si>
  <si>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</si>
  <si>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</si>
  <si>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</si>
  <si>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</si>
  <si>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</si>
  <si>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</si>
  <si>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</si>
  <si>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</si>
  <si>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</si>
  <si>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</si>
  <si>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</si>
  <si>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</si>
  <si>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</si>
  <si>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</si>
  <si>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</si>
  <si>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</si>
  <si>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</si>
  <si>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</si>
  <si>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</si>
  <si>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</si>
  <si>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</si>
  <si>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</si>
  <si>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</si>
  <si>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</si>
  <si>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</si>
  <si>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</si>
  <si>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</si>
  <si>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</si>
  <si>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</si>
  <si>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</si>
  <si>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</si>
  <si>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</si>
  <si>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</si>
  <si>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</si>
  <si>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</si>
  <si>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</si>
  <si>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</si>
  <si>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</si>
  <si>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</si>
  <si>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</si>
  <si>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</si>
  <si>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</si>
  <si>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</si>
  <si>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</si>
  <si>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</si>
  <si>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</si>
  <si>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</si>
  <si>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</si>
  <si>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</si>
  <si>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</si>
  <si>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</si>
  <si>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</si>
  <si>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</si>
  <si>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</si>
  <si>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</si>
  <si>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</si>
  <si>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</si>
  <si>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</si>
  <si>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</si>
  <si>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</si>
  <si>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</si>
  <si>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</si>
  <si>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</si>
  <si>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</si>
  <si>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</si>
  <si>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</si>
  <si>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</si>
  <si>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</si>
  <si>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</si>
  <si>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</si>
  <si>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</si>
  <si>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</si>
  <si>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</si>
  <si>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</si>
  <si>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</si>
  <si>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</si>
  <si>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</si>
  <si>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</si>
  <si>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</si>
  <si>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</si>
  <si>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</si>
  <si>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</si>
  <si>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</si>
  <si>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</si>
  <si>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</si>
  <si>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</si>
  <si>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</si>
  <si>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</si>
  <si>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</si>
  <si>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</si>
  <si>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</si>
  <si>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</si>
  <si>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</si>
  <si>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</si>
  <si>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</si>
  <si>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</si>
  <si>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</si>
  <si>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</si>
  <si>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</si>
  <si>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</si>
  <si>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</si>
  <si>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</si>
  <si>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</si>
  <si>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</si>
  <si>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</si>
  <si>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</si>
  <si>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</si>
  <si>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</si>
  <si>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</si>
  <si>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</si>
  <si>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</si>
  <si>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</si>
  <si>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</si>
  <si>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</si>
  <si>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</si>
  <si>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</si>
  <si>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</si>
  <si>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</si>
  <si>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</si>
  <si>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</si>
  <si>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</si>
  <si>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</si>
  <si>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</si>
  <si>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</si>
  <si>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</si>
  <si>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</si>
  <si>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</si>
  <si>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</si>
  <si>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</si>
  <si>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</si>
  <si>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</si>
  <si>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</si>
  <si>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</si>
  <si>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</si>
  <si>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</si>
  <si>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</si>
  <si>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</si>
  <si>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</si>
  <si>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</si>
  <si>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</si>
  <si>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</si>
  <si>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</si>
  <si>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</si>
  <si>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</si>
  <si>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</si>
  <si>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</si>
  <si>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</si>
  <si>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</si>
  <si>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</si>
  <si>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</si>
  <si>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</si>
  <si>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</si>
  <si>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</si>
  <si>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</si>
  <si>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</si>
  <si>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</si>
  <si>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</si>
  <si>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</si>
  <si>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</si>
  <si>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</si>
  <si>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</si>
  <si>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</si>
  <si>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</si>
  <si>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</si>
  <si>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</si>
  <si>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</si>
  <si>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</si>
  <si>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</si>
  <si>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</si>
  <si>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</si>
  <si>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</si>
  <si>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</si>
  <si>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</si>
  <si>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</si>
  <si>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</si>
  <si>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</si>
  <si>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</si>
  <si>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</si>
  <si>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</si>
  <si>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</si>
  <si>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</si>
  <si>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</si>
  <si>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</si>
  <si>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</si>
  <si>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</si>
  <si>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</si>
  <si>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</si>
  <si>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</si>
  <si>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</si>
  <si>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</si>
  <si>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</si>
  <si>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</si>
  <si>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</si>
  <si>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</si>
  <si>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</si>
  <si>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</si>
  <si>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</si>
  <si>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</si>
  <si>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</si>
  <si>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</si>
  <si>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</si>
  <si>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</si>
  <si>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</si>
  <si>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</si>
  <si>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</si>
  <si>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</si>
  <si>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</si>
  <si>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</si>
  <si>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</si>
  <si>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</si>
  <si>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</si>
  <si>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</si>
  <si>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</si>
  <si>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</si>
  <si>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</si>
  <si>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</si>
  <si>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</si>
  <si>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</si>
  <si>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</si>
  <si>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</si>
  <si>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</si>
  <si>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</si>
  <si>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</si>
  <si>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</si>
  <si>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</si>
  <si>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</si>
  <si>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</si>
  <si>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</si>
  <si>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</si>
  <si>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</si>
  <si>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</si>
  <si>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</si>
  <si>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</si>
  <si>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</si>
  <si>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</si>
  <si>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</si>
  <si>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</si>
  <si>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</si>
  <si>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</si>
  <si>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</si>
  <si>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</si>
  <si>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</si>
  <si>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</si>
  <si>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</si>
  <si>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</si>
  <si>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</si>
  <si>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</si>
  <si>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</si>
  <si>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</si>
  <si>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</si>
  <si>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</si>
  <si>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</si>
  <si>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</si>
  <si>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</si>
  <si>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</si>
  <si>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</si>
  <si>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</si>
  <si>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</si>
  <si>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</si>
  <si>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</si>
  <si>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</si>
  <si>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</si>
  <si>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</si>
  <si>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</si>
  <si>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</si>
  <si>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</si>
  <si>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</si>
  <si>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</si>
  <si>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</si>
  <si>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</si>
  <si>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</si>
  <si>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</si>
  <si>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</si>
  <si>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</si>
  <si>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</si>
  <si>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</si>
  <si>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</si>
  <si>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</si>
  <si>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</si>
  <si>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</si>
  <si>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</si>
  <si>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</si>
  <si>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</si>
  <si>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</si>
  <si>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</si>
  <si>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</si>
  <si>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</si>
  <si>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</si>
  <si>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</si>
  <si>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</si>
  <si>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</si>
  <si>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</si>
  <si>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</si>
  <si>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</si>
  <si>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</si>
  <si>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</si>
  <si>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</si>
  <si>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</si>
  <si>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</si>
  <si>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</si>
  <si>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</si>
  <si>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</si>
  <si>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</si>
  <si>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</si>
  <si>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</si>
  <si>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</si>
  <si>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</si>
  <si>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</si>
  <si>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</si>
  <si>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</si>
  <si>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</si>
  <si>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</si>
  <si>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</si>
  <si>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</si>
  <si>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</si>
  <si>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</si>
  <si>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</si>
  <si>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</si>
  <si>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</si>
  <si>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</si>
  <si>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</si>
  <si>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</si>
  <si>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</si>
  <si>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</si>
  <si>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</si>
  <si>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</si>
  <si>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</si>
  <si>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</si>
  <si>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</si>
  <si>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</si>
  <si>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</si>
  <si>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</si>
  <si>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</si>
  <si>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</si>
  <si>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</si>
  <si>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</si>
  <si>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</si>
  <si>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</si>
  <si>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</si>
  <si>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</si>
  <si>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</si>
  <si>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</si>
  <si>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</si>
  <si>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</si>
  <si>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</si>
  <si>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</si>
  <si>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</si>
  <si>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</si>
  <si>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</si>
  <si>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</si>
  <si>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</si>
  <si>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</si>
  <si>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</si>
  <si>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</si>
  <si>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</si>
  <si>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</si>
  <si>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</si>
  <si>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</si>
  <si>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</si>
  <si>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</si>
  <si>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</si>
  <si>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</si>
  <si>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</si>
  <si>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</si>
  <si>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</si>
  <si>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</si>
  <si>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</si>
  <si>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</si>
  <si>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</si>
  <si>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</si>
  <si>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</si>
  <si>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</si>
  <si>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</si>
  <si>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</si>
  <si>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</si>
  <si>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</si>
  <si>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</si>
  <si>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</si>
  <si>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</si>
  <si>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</si>
  <si>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</si>
  <si>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</si>
  <si>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</si>
  <si>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</si>
  <si>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</si>
  <si>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</si>
  <si>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</si>
  <si>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</si>
  <si>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</si>
  <si>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</si>
  <si>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</si>
  <si>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</si>
  <si>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</si>
  <si>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</si>
  <si>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</si>
  <si>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</si>
  <si>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</si>
  <si>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</si>
  <si>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</si>
  <si>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</si>
  <si>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</si>
  <si>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</si>
  <si>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</si>
  <si>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</si>
  <si>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</si>
  <si>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</si>
  <si>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</si>
  <si>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</si>
  <si>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</si>
  <si>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</si>
  <si>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</si>
  <si>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</si>
  <si>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</si>
  <si>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</si>
  <si>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</si>
  <si>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</si>
  <si>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</si>
  <si>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</si>
  <si>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</si>
  <si>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</si>
  <si>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</si>
  <si>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</si>
  <si>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</si>
  <si>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</si>
  <si>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</si>
  <si>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</si>
  <si>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</si>
  <si>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</si>
  <si>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</si>
  <si>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</si>
  <si>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</si>
  <si>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</si>
  <si>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</si>
  <si>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</si>
  <si>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</si>
  <si>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</si>
  <si>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</si>
  <si>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</si>
  <si>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</si>
  <si>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</si>
  <si>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</si>
  <si>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</si>
  <si>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</si>
  <si>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</si>
  <si>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</si>
  <si>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</si>
  <si>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</si>
  <si>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</si>
  <si>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</si>
  <si>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</si>
  <si>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</si>
  <si>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</si>
  <si>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</si>
  <si>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</si>
  <si>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</si>
  <si>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</si>
  <si>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</si>
  <si>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</si>
  <si>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</si>
  <si>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</si>
  <si>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</si>
  <si>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</si>
  <si>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</si>
  <si>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</si>
  <si>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</si>
  <si>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</si>
  <si>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</si>
  <si>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</si>
  <si>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</si>
  <si>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</si>
  <si>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</si>
  <si>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</si>
  <si>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</si>
  <si>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</si>
  <si>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</si>
  <si>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</si>
  <si>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</si>
  <si>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</si>
  <si>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</si>
  <si>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</si>
  <si>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</si>
  <si>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</si>
  <si>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</si>
  <si>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</si>
  <si>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</si>
  <si>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</si>
  <si>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</si>
  <si>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</si>
  <si>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</si>
  <si>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</si>
  <si>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</si>
  <si>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</si>
  <si>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</si>
  <si>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</si>
  <si>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</si>
  <si>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</si>
  <si>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</si>
  <si>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</si>
  <si>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</si>
  <si>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</si>
  <si>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</si>
  <si>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</si>
  <si>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</si>
  <si>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</si>
  <si>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</si>
  <si>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</si>
  <si>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</si>
  <si>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</si>
  <si>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</si>
  <si>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</si>
  <si>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</si>
  <si>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</si>
  <si>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</si>
  <si>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</si>
  <si>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</si>
  <si>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</si>
  <si>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</si>
  <si>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</si>
  <si>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</si>
  <si>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</si>
  <si>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</si>
  <si>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</si>
  <si>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</si>
  <si>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</si>
  <si>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</si>
  <si>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</si>
  <si>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</si>
  <si>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</si>
  <si>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</si>
  <si>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</si>
  <si>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</si>
  <si>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</si>
  <si>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</si>
  <si>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</si>
  <si>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</si>
  <si>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</si>
  <si>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</si>
  <si>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</si>
  <si>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</si>
  <si>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</si>
  <si>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</si>
  <si>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</si>
  <si>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</si>
  <si>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</si>
  <si>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</si>
  <si>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</si>
  <si>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</si>
  <si>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</si>
  <si>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</si>
  <si>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</si>
  <si>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</si>
  <si>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</si>
  <si>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</si>
  <si>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</si>
  <si>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</si>
  <si>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</si>
  <si>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</si>
  <si>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</si>
  <si>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</si>
  <si>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</si>
  <si>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</si>
  <si>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</si>
  <si>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</si>
  <si>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</si>
  <si>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</si>
  <si>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</si>
  <si>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</si>
  <si>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</si>
  <si>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</si>
  <si>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</si>
  <si>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</si>
  <si>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</si>
  <si>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</si>
  <si>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</si>
  <si>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</si>
  <si>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</si>
  <si>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</si>
  <si>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</si>
  <si>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</si>
  <si>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</si>
  <si>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</si>
  <si>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</si>
  <si>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</si>
  <si>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</si>
  <si>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</si>
  <si>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</si>
  <si>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</si>
  <si>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</si>
  <si>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</si>
  <si>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</si>
  <si>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</si>
  <si>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</si>
  <si>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</si>
  <si>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</si>
  <si>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</si>
  <si>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</si>
  <si>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</si>
  <si>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</si>
  <si>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</si>
  <si>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</si>
  <si>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</si>
  <si>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</si>
  <si>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</si>
  <si>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</si>
  <si>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</si>
  <si>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</si>
  <si>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</si>
  <si>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</si>
  <si>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</si>
  <si>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</si>
  <si>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</si>
  <si>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</si>
  <si>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</si>
  <si>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</si>
  <si>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</si>
  <si>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</si>
  <si>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</si>
  <si>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</si>
  <si>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</si>
  <si>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</si>
  <si>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</si>
  <si>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</si>
  <si>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</si>
  <si>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</si>
  <si>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</si>
  <si>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</si>
  <si>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</si>
  <si>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</si>
  <si>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</si>
  <si>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</si>
  <si>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</si>
  <si>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</si>
  <si>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</si>
  <si>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</si>
  <si>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</si>
  <si>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</si>
  <si>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</si>
  <si>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</si>
  <si>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</si>
  <si>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</si>
  <si>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</si>
  <si>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</si>
  <si>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</si>
  <si>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</si>
  <si>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</si>
  <si>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</si>
  <si>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</si>
  <si>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</si>
  <si>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</si>
  <si>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</si>
  <si>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</si>
  <si>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</si>
  <si>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</si>
  <si>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</si>
  <si>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</si>
  <si>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</si>
  <si>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</si>
  <si>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</si>
  <si>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</si>
  <si>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</si>
  <si>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</si>
  <si>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</si>
  <si>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</si>
  <si>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</si>
  <si>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</si>
  <si>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</si>
  <si>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</si>
  <si>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</si>
  <si>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</si>
  <si>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</si>
  <si>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</si>
  <si>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</si>
  <si>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</si>
  <si>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</si>
  <si>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</si>
  <si>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</si>
  <si>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</si>
  <si>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</si>
  <si>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</si>
  <si>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</si>
  <si>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</si>
  <si>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</si>
  <si>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</si>
  <si>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</si>
  <si>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</si>
  <si>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</si>
  <si>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</si>
  <si>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</si>
  <si>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</si>
  <si>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</si>
  <si>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</si>
  <si>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</si>
  <si>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</si>
  <si>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</si>
  <si>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</si>
  <si>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</si>
  <si>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</si>
  <si>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</si>
  <si>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</si>
  <si>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</si>
  <si>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</si>
  <si>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</si>
  <si>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</si>
  <si>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</si>
  <si>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</si>
  <si>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</si>
  <si>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</si>
  <si>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</si>
  <si>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</si>
  <si>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</si>
  <si>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</si>
  <si>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</si>
  <si>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</si>
  <si>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</si>
  <si>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</si>
  <si>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</si>
  <si>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</si>
  <si>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</si>
  <si>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</si>
  <si>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</si>
  <si>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</si>
  <si>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</si>
  <si>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</si>
  <si>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</si>
  <si>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</si>
  <si>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</si>
  <si>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</si>
  <si>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</si>
  <si>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</si>
  <si>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</si>
  <si>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</si>
  <si>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</si>
  <si>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</si>
  <si>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</si>
  <si>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</si>
  <si>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</si>
  <si>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</si>
  <si>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</si>
  <si>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</si>
  <si>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</si>
  <si>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</si>
  <si>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</si>
  <si>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</si>
  <si>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</si>
  <si>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</si>
  <si>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</si>
  <si>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</si>
  <si>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</si>
  <si>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</si>
  <si>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</si>
  <si>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</si>
  <si>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</si>
  <si>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</si>
  <si>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</si>
  <si>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</si>
  <si>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</si>
  <si>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</si>
  <si>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</si>
  <si>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</si>
  <si>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</si>
  <si>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</si>
  <si>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</si>
  <si>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</si>
  <si>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</si>
  <si>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</si>
  <si>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</si>
  <si>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</si>
  <si>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</si>
  <si>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</si>
  <si>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</si>
  <si>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</si>
  <si>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</si>
  <si>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</si>
  <si>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</si>
  <si>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</si>
  <si>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</si>
  <si>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</si>
  <si>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</si>
  <si>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</si>
  <si>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</si>
  <si>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</si>
  <si>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</si>
  <si>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</si>
  <si>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</si>
  <si>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</si>
  <si>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</si>
  <si>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</si>
  <si>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</si>
  <si>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</si>
  <si>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</si>
  <si>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</si>
  <si>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</si>
  <si>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</si>
  <si>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</si>
  <si>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</si>
  <si>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</si>
  <si>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</si>
  <si>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</si>
  <si>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</si>
  <si>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</si>
  <si>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</si>
  <si>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</si>
  <si>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</si>
  <si>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</si>
  <si>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</si>
  <si>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</si>
  <si>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</si>
  <si>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</si>
  <si>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</si>
  <si>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</si>
  <si>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</si>
  <si>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</si>
  <si>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</si>
  <si>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</si>
  <si>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</si>
  <si>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</si>
  <si>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</si>
  <si>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</si>
  <si>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</si>
  <si>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</si>
  <si>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</si>
  <si>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</si>
  <si>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</si>
  <si>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</si>
  <si>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</si>
  <si>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</si>
  <si>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</si>
  <si>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</si>
  <si>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</si>
  <si>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</si>
  <si>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</si>
  <si>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</si>
  <si>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</si>
  <si>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</si>
  <si>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</si>
  <si>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</si>
  <si>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</si>
  <si>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</si>
  <si>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</si>
  <si>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</si>
  <si>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</si>
  <si>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</si>
  <si>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</si>
  <si>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</si>
  <si>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</si>
  <si>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</si>
  <si>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</si>
  <si>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</si>
  <si>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</si>
  <si>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</si>
  <si>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</si>
  <si>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</si>
  <si>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</si>
  <si>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</si>
  <si>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</si>
  <si>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</si>
  <si>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</si>
  <si>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</si>
  <si>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</si>
  <si>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</si>
  <si>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</si>
  <si>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</si>
  <si>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</si>
  <si>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</si>
  <si>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</si>
  <si>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</si>
  <si>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</si>
  <si>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</si>
  <si>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</si>
  <si>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</si>
  <si>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</si>
  <si>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</si>
  <si>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</si>
  <si>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</si>
  <si>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</si>
  <si>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</si>
  <si>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</si>
  <si>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</si>
  <si>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</si>
  <si>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</si>
  <si>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</si>
  <si>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</si>
  <si>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</si>
  <si>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</si>
  <si>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</si>
  <si>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</si>
  <si>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</si>
  <si>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</si>
  <si>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</si>
  <si>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</si>
  <si>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</si>
  <si>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</si>
  <si>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</si>
  <si>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</si>
  <si>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</si>
  <si>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</si>
  <si>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</si>
  <si>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</si>
  <si>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</si>
  <si>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</si>
  <si>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</si>
  <si>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</si>
  <si>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</si>
  <si>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</si>
  <si>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</si>
  <si>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</si>
  <si>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</si>
  <si>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</si>
  <si>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</si>
  <si>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</si>
  <si>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</si>
  <si>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</si>
  <si>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</si>
  <si>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</si>
  <si>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</si>
  <si>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</si>
  <si>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</si>
  <si>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</si>
  <si>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</si>
  <si>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</si>
  <si>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</si>
  <si>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</si>
  <si>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</si>
  <si>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</si>
  <si>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</si>
  <si>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</si>
  <si>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</si>
  <si>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</si>
  <si>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</si>
  <si>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</si>
  <si>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</si>
  <si>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</si>
  <si>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</si>
  <si>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</si>
  <si>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</si>
  <si>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</si>
  <si>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</si>
  <si>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</si>
  <si>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</si>
  <si>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</si>
  <si>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</si>
  <si>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</si>
  <si>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</si>
  <si>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</si>
  <si>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</si>
  <si>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</si>
  <si>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</si>
  <si>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</si>
  <si>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</si>
  <si>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</si>
  <si>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</si>
  <si>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</si>
  <si>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</si>
  <si>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</si>
  <si>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</si>
  <si>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</si>
  <si>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</si>
  <si>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</si>
  <si>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</si>
  <si>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</si>
  <si>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</si>
  <si>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</si>
  <si>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</si>
  <si>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</si>
  <si>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</si>
  <si>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</si>
  <si>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</si>
  <si>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</si>
  <si>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</si>
  <si>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</si>
  <si>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</si>
  <si>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</si>
  <si>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</si>
  <si>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</si>
  <si>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</si>
  <si>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</si>
  <si>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</si>
  <si>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</si>
  <si>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</si>
  <si>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</si>
  <si>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</si>
  <si>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</si>
  <si>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</si>
  <si>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</si>
  <si>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</si>
  <si>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</si>
  <si>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</si>
  <si>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</si>
  <si>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</si>
  <si>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</si>
  <si>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</si>
  <si>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</si>
  <si>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</si>
  <si>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</si>
  <si>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</si>
  <si>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</si>
  <si>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</si>
  <si>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</si>
  <si>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</si>
  <si>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</si>
  <si>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</si>
  <si>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</si>
  <si>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</si>
  <si>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</si>
  <si>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</si>
  <si>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</si>
  <si>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</si>
  <si>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</si>
  <si>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</si>
  <si>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</si>
  <si>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</si>
  <si>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</si>
  <si>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</si>
  <si>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</si>
  <si>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</si>
  <si>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</si>
  <si>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</si>
  <si>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</si>
  <si>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</si>
  <si>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</si>
  <si>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</si>
  <si>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</si>
  <si>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</si>
  <si>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</si>
  <si>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</si>
  <si>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</si>
  <si>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</si>
  <si>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</si>
  <si>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</si>
  <si>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</si>
  <si>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</si>
  <si>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</si>
  <si>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</si>
  <si>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</si>
  <si>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</si>
  <si>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</si>
  <si>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</si>
  <si>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</si>
  <si>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</si>
  <si>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</si>
  <si>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</si>
  <si>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</si>
  <si>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</si>
  <si>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</si>
  <si>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</si>
  <si>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</si>
  <si>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</si>
  <si>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</si>
  <si>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</si>
  <si>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</si>
  <si>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</si>
  <si>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</si>
  <si>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</si>
  <si>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</si>
  <si>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</si>
  <si>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</si>
  <si>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</si>
  <si>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</si>
  <si>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</si>
  <si>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</si>
  <si>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</si>
  <si>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</si>
  <si>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</si>
  <si>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</si>
  <si>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</si>
  <si>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</si>
  <si>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</si>
  <si>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</si>
  <si>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</si>
  <si>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</si>
  <si>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</si>
  <si>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</si>
  <si>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</si>
  <si>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</si>
  <si>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</si>
  <si>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</si>
  <si>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</si>
  <si>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</si>
  <si>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</si>
  <si>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</si>
  <si>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</si>
  <si>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</si>
  <si>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</si>
  <si>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</si>
  <si>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</si>
  <si>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</si>
  <si>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</si>
  <si>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</si>
  <si>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</si>
  <si>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</si>
  <si>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</si>
  <si>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</si>
  <si>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</si>
  <si>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</si>
  <si>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</si>
  <si>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</si>
  <si>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</si>
  <si>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</si>
  <si>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</si>
  <si>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</si>
  <si>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</si>
  <si>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</si>
  <si>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</si>
  <si>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</si>
  <si>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</si>
  <si>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</si>
  <si>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</si>
  <si>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</si>
  <si>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</si>
  <si>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</si>
  <si>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</si>
  <si>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</si>
  <si>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</si>
  <si>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</si>
  <si>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</si>
  <si>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</si>
  <si>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</si>
  <si>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</si>
  <si>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</si>
  <si>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</si>
  <si>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</si>
  <si>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</si>
  <si>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</si>
  <si>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</si>
  <si>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</si>
  <si>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</si>
  <si>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</si>
  <si>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</si>
  <si>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</si>
  <si>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</si>
  <si>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</si>
  <si>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</si>
  <si>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</si>
  <si>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</si>
  <si>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</si>
  <si>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</si>
  <si>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</si>
  <si>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</si>
  <si>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</si>
  <si>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</si>
  <si>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</si>
  <si>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</si>
  <si>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</si>
  <si>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</si>
  <si>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</si>
  <si>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</si>
  <si>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</si>
  <si>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</si>
  <si>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</si>
  <si>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</si>
  <si>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</si>
  <si>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</si>
  <si>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</si>
  <si>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</si>
  <si>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</si>
  <si>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</si>
  <si>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</si>
  <si>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</si>
  <si>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</si>
  <si>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</si>
  <si>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</si>
  <si>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</si>
  <si>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</si>
  <si>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</si>
  <si>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</si>
  <si>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</si>
  <si>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</si>
  <si>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</si>
  <si>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</si>
  <si>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</si>
  <si>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</si>
  <si>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</si>
  <si>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</si>
  <si>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</si>
  <si>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</si>
  <si>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</si>
  <si>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</si>
  <si>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</si>
  <si>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</si>
  <si>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</si>
  <si>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</si>
  <si>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</si>
  <si>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</si>
  <si>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</si>
  <si>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</si>
  <si>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</si>
  <si>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</si>
  <si>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</si>
  <si>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</si>
  <si>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</si>
  <si>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</si>
  <si>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</si>
  <si>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</si>
  <si>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</si>
  <si>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</si>
  <si>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</si>
  <si>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</si>
  <si>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</si>
  <si>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</si>
  <si>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</si>
  <si>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</si>
  <si>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</si>
  <si>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</si>
  <si>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</si>
  <si>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</si>
  <si>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</si>
  <si>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</si>
  <si>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</si>
  <si>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</si>
  <si>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</si>
  <si>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</si>
  <si>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</si>
  <si>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</si>
  <si>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</si>
  <si>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</si>
  <si>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</si>
  <si>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</si>
  <si>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</si>
  <si>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</si>
  <si>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</si>
  <si>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</si>
  <si>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</si>
  <si>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</si>
  <si>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</si>
  <si>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</si>
  <si>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</si>
  <si>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</si>
  <si>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</si>
  <si>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</si>
  <si>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</si>
  <si>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</si>
  <si>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</si>
  <si>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</si>
  <si>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</si>
  <si>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</si>
  <si>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</si>
  <si>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</si>
  <si>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</si>
  <si>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</si>
  <si>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</si>
  <si>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</si>
  <si>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</si>
  <si>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</si>
  <si>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</si>
  <si>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</si>
  <si>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</si>
  <si>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</si>
  <si>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</si>
  <si>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</si>
  <si>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</si>
  <si>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</si>
  <si>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</si>
  <si>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</si>
  <si>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</si>
  <si>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</si>
  <si>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</si>
  <si>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</si>
  <si>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</si>
  <si>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</si>
  <si>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</si>
  <si>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</si>
  <si>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</si>
  <si>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</si>
  <si>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</si>
  <si>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</si>
  <si>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</si>
  <si>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</si>
  <si>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</si>
  <si>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</si>
  <si>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</si>
  <si>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</si>
  <si>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</si>
  <si>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</si>
  <si>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</si>
  <si>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</si>
  <si>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</si>
  <si>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</si>
  <si>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</si>
  <si>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</si>
  <si>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</si>
  <si>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</si>
  <si>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</si>
  <si>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</si>
  <si>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</si>
  <si>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</si>
  <si>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</si>
  <si>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</si>
  <si>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</si>
  <si>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</si>
  <si>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</si>
  <si>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</si>
  <si>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</si>
  <si>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</si>
  <si>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</si>
  <si>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</si>
  <si>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</si>
  <si>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</si>
  <si>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</si>
  <si>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</si>
  <si>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</si>
  <si>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</si>
  <si>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</si>
  <si>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</si>
  <si>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</si>
  <si>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</si>
  <si>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</si>
  <si>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</si>
  <si>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</si>
  <si>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</si>
  <si>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</si>
  <si>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</si>
  <si>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</si>
  <si>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</si>
  <si>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</si>
  <si>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</si>
  <si>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</si>
  <si>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</si>
  <si>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</si>
  <si>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</si>
  <si>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</si>
  <si>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</si>
  <si>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</si>
  <si>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</si>
  <si>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</si>
  <si>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</si>
  <si>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</si>
  <si>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</si>
  <si>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</si>
  <si>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</si>
  <si>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</si>
  <si>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</si>
  <si>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</si>
  <si>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</si>
  <si>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</si>
  <si>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</si>
  <si>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</si>
  <si>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</si>
  <si>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</si>
  <si>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</si>
  <si>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</si>
  <si>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</si>
  <si>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</si>
  <si>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</si>
  <si>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</si>
  <si>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</si>
  <si>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</si>
  <si>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</si>
  <si>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</si>
  <si>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</si>
  <si>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</si>
  <si>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</si>
  <si>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</si>
  <si>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</si>
  <si>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</si>
  <si>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</si>
  <si>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</si>
  <si>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</si>
  <si>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</si>
  <si>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</si>
  <si>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</si>
  <si>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</si>
  <si>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</si>
  <si>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</si>
  <si>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</si>
  <si>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</si>
  <si>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</si>
  <si>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</si>
  <si>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</si>
  <si>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</si>
  <si>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</si>
  <si>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</si>
  <si>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</si>
  <si>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</si>
  <si>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</si>
  <si>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</si>
  <si>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</si>
  <si>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</si>
  <si>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</si>
  <si>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</si>
  <si>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</si>
  <si>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</si>
  <si>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</si>
  <si>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</si>
  <si>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</si>
  <si>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</si>
  <si>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</si>
  <si>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</si>
  <si>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</si>
  <si>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</si>
  <si>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</si>
  <si>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</si>
  <si>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</si>
  <si>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</si>
  <si>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</si>
  <si>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</si>
  <si>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</si>
  <si>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</si>
  <si>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</si>
  <si>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</si>
  <si>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</si>
  <si>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</si>
  <si>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</si>
  <si>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</si>
  <si>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</si>
  <si>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</si>
  <si>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</si>
  <si>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</si>
  <si>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</si>
  <si>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</si>
  <si>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</si>
  <si>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</si>
  <si>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</si>
  <si>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</si>
  <si>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</si>
  <si>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</si>
  <si>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</si>
  <si>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</si>
  <si>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</si>
  <si>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</si>
  <si>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</si>
  <si>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</si>
  <si>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</si>
  <si>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</si>
  <si>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</si>
  <si>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</si>
  <si>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</si>
  <si>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</si>
  <si>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</si>
  <si>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</si>
  <si>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</si>
  <si>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</si>
  <si>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</si>
  <si>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</si>
  <si>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</si>
  <si>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</si>
  <si>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</si>
  <si>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</si>
  <si>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</si>
  <si>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</si>
  <si>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</si>
  <si>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</si>
  <si>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</si>
  <si>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</si>
  <si>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</si>
  <si>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</si>
  <si>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</si>
  <si>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</si>
  <si>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</si>
  <si>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</si>
  <si>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</si>
  <si>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</si>
  <si>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</si>
  <si>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</si>
  <si>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</si>
  <si>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</si>
  <si>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</si>
  <si>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</si>
  <si>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</si>
  <si>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</si>
  <si>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</si>
  <si>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</si>
  <si>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</si>
  <si>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</si>
  <si>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</si>
  <si>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</si>
  <si>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</si>
  <si>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</si>
  <si>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</si>
  <si>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</si>
  <si>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</si>
  <si>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</si>
  <si>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</si>
  <si>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</si>
  <si>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</si>
  <si>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</si>
  <si>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</si>
  <si>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</si>
  <si>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</si>
  <si>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</si>
  <si>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</si>
  <si>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</si>
  <si>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</si>
  <si>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</si>
  <si>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</si>
  <si>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</si>
  <si>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</si>
  <si>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</si>
  <si>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</si>
  <si>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</si>
  <si>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</si>
  <si>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</si>
  <si>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</si>
  <si>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</si>
  <si>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</si>
  <si>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</si>
  <si>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</si>
  <si>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</si>
  <si>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</si>
  <si>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</si>
  <si>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</si>
  <si>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</si>
  <si>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</si>
  <si>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</si>
  <si>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</si>
  <si>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</si>
  <si>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</si>
  <si>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</si>
  <si>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</si>
  <si>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</si>
  <si>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</si>
  <si>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</si>
  <si>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</si>
  <si>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</si>
  <si>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</si>
  <si>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</si>
  <si>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</si>
  <si>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</si>
  <si>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</si>
  <si>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</si>
  <si>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</si>
  <si>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</si>
  <si>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</si>
  <si>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</si>
  <si>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</si>
  <si>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</si>
  <si>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</si>
  <si>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</si>
  <si>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</si>
  <si>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</si>
  <si>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</si>
  <si>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</si>
  <si>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</si>
  <si>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</si>
  <si>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</si>
  <si>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</si>
  <si>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</si>
  <si>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</si>
  <si>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</si>
  <si>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</si>
  <si>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</si>
  <si>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</si>
  <si>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</si>
  <si>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</si>
  <si>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</si>
  <si>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</si>
  <si>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</si>
  <si>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</si>
  <si>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</si>
  <si>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</si>
  <si>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</si>
  <si>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</si>
  <si>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</si>
  <si>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</si>
  <si>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</si>
  <si>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</si>
  <si>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</si>
  <si>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</si>
  <si>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</si>
  <si>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</si>
  <si>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</si>
  <si>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</si>
  <si>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</si>
  <si>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</si>
  <si>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</si>
  <si>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</si>
  <si>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</si>
  <si>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</si>
  <si>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</si>
  <si>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</si>
  <si>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</si>
  <si>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</si>
  <si>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</si>
  <si>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</si>
  <si>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</si>
  <si>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</si>
  <si>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</si>
  <si>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</si>
  <si>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</si>
  <si>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</si>
  <si>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</si>
  <si>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</si>
  <si>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</si>
  <si>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</si>
  <si>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</si>
  <si>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</si>
  <si>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</si>
  <si>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</si>
  <si>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</si>
  <si>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</si>
  <si>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</si>
  <si>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</si>
  <si>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</si>
  <si>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</si>
  <si>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</si>
  <si>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</si>
  <si>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</si>
  <si>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</si>
  <si>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</si>
  <si>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</si>
  <si>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</si>
  <si>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</si>
  <si>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</si>
  <si>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</si>
  <si>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</si>
  <si>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</si>
  <si>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</si>
  <si>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</si>
  <si>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</si>
  <si>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</si>
  <si>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</si>
  <si>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</si>
  <si>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</si>
  <si>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</si>
  <si>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</si>
  <si>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</si>
  <si>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</si>
  <si>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</si>
  <si>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</si>
  <si>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</si>
  <si>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</si>
  <si>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</si>
  <si>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</si>
  <si>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</si>
  <si>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</si>
  <si>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</si>
  <si>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</si>
  <si>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</si>
  <si>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</si>
  <si>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</si>
  <si>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</si>
  <si>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</si>
  <si>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</si>
  <si>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</si>
  <si>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</si>
  <si>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</si>
  <si>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</si>
  <si>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</si>
  <si>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</si>
  <si>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</si>
  <si>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</si>
  <si>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</si>
  <si>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</si>
  <si>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</si>
  <si>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</si>
  <si>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</si>
  <si>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</si>
  <si>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</si>
  <si>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</si>
  <si>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</si>
  <si>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</si>
  <si>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</si>
  <si>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</si>
  <si>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</si>
  <si>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</si>
  <si>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</si>
  <si>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</si>
  <si>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</si>
  <si>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</si>
  <si>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</si>
  <si>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</si>
  <si>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</si>
  <si>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</si>
  <si>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</si>
  <si>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</si>
  <si>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</si>
  <si>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</si>
  <si>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</si>
  <si>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</si>
  <si>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</si>
  <si>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</si>
  <si>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</si>
  <si>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</si>
  <si>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</si>
  <si>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</si>
  <si>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</si>
  <si>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</si>
  <si>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</si>
  <si>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</si>
  <si>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</si>
  <si>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</si>
  <si>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</si>
  <si>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</si>
  <si>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</si>
  <si>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</si>
  <si>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</si>
  <si>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</si>
  <si>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</si>
  <si>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</si>
  <si>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</si>
  <si>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</si>
  <si>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</si>
  <si>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</si>
  <si>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</si>
  <si>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</si>
  <si>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</si>
  <si>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</si>
  <si>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</si>
  <si>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</si>
  <si>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</si>
  <si>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</si>
  <si>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</si>
  <si>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</si>
  <si>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</si>
  <si>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</si>
  <si>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</si>
  <si>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</si>
  <si>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</si>
  <si>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</si>
  <si>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</si>
  <si>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</si>
  <si>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</si>
  <si>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</si>
  <si>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</si>
  <si>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</si>
  <si>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</si>
  <si>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</si>
  <si>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</si>
  <si>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</si>
  <si>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</si>
  <si>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</si>
  <si>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</si>
  <si>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</si>
  <si>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</si>
  <si>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</si>
  <si>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</si>
  <si>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</si>
  <si>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</si>
  <si>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</si>
  <si>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</si>
  <si>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</si>
  <si>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</si>
  <si>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</si>
  <si>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</si>
  <si>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</si>
  <si>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</si>
  <si>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</si>
  <si>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</si>
  <si>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</si>
  <si>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</si>
  <si>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</si>
  <si>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</si>
  <si>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</si>
  <si>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</si>
  <si>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</si>
  <si>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</si>
  <si>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</si>
  <si>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</si>
  <si>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</si>
  <si>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</si>
  <si>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</si>
  <si>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</si>
  <si>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</si>
  <si>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</si>
  <si>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</si>
  <si>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</si>
  <si>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</si>
  <si>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</si>
  <si>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</si>
  <si>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</si>
  <si>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</si>
  <si>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</si>
  <si>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</si>
  <si>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</si>
  <si>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</si>
  <si>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</si>
  <si>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</si>
  <si>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</si>
  <si>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</si>
  <si>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</si>
  <si>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</si>
  <si>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</si>
  <si>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</si>
  <si>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</si>
  <si>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</si>
  <si>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</si>
  <si>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</si>
  <si>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</si>
  <si>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</si>
  <si>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</si>
  <si>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</si>
  <si>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</si>
  <si>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</si>
  <si>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</si>
  <si>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</si>
  <si>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</si>
  <si>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</si>
  <si>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</si>
  <si>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</si>
  <si>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</si>
  <si>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</si>
  <si>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</si>
  <si>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</si>
  <si>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</si>
  <si>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</si>
  <si>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</si>
  <si>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</si>
  <si>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</si>
  <si>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</si>
  <si>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</si>
  <si>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</si>
  <si>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</si>
  <si>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</si>
  <si>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</si>
  <si>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</si>
  <si>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</si>
  <si>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</si>
  <si>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</si>
  <si>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</si>
  <si>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</si>
  <si>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</si>
  <si>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</si>
  <si>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</si>
  <si>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</si>
  <si>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</si>
  <si>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</si>
  <si>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</si>
  <si>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</si>
  <si>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</si>
  <si>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</si>
  <si>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</si>
  <si>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</si>
  <si>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</si>
  <si>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</si>
  <si>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</si>
  <si>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</si>
  <si>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</si>
  <si>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</si>
  <si>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</si>
  <si>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</si>
  <si>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</si>
  <si>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</si>
  <si>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</si>
  <si>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</si>
  <si>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</si>
  <si>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</si>
  <si>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</si>
  <si>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</si>
  <si>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</si>
  <si>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</si>
  <si>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</si>
  <si>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</si>
  <si>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</si>
  <si>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</si>
  <si>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</si>
  <si>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</si>
  <si>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</si>
  <si>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</si>
  <si>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</si>
  <si>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</si>
  <si>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</si>
  <si>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</si>
  <si>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</si>
  <si>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</si>
  <si>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</si>
  <si>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</si>
  <si>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</si>
  <si>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</si>
  <si>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</si>
  <si>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</si>
  <si>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</si>
  <si>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</si>
  <si>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</si>
  <si>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</si>
  <si>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</si>
  <si>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</si>
  <si>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</si>
  <si>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</si>
  <si>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</si>
  <si>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</si>
  <si>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</si>
  <si>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</si>
  <si>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</si>
  <si>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</si>
  <si>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</si>
  <si>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</si>
  <si>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</si>
  <si>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</si>
  <si>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</si>
  <si>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</si>
  <si>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</si>
  <si>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</si>
  <si>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</si>
  <si>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</si>
  <si>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</si>
  <si>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</si>
  <si>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</si>
  <si>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</si>
  <si>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</si>
  <si>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</si>
  <si>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</si>
  <si>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</si>
  <si>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</si>
  <si>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</si>
  <si>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</si>
  <si>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</si>
  <si>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</si>
  <si>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</si>
  <si>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</si>
  <si>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</si>
  <si>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</si>
  <si>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</si>
  <si>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</si>
  <si>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</si>
  <si>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</si>
  <si>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</si>
  <si>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</si>
  <si>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</si>
  <si>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</si>
  <si>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</si>
  <si>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</si>
  <si>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</si>
  <si>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</si>
  <si>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</si>
  <si>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</si>
  <si>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</si>
  <si>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</si>
  <si>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</si>
  <si>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</si>
  <si>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</si>
  <si>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</si>
  <si>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</si>
  <si>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</si>
  <si>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</si>
  <si>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</si>
  <si>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</si>
  <si>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</si>
  <si>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</si>
  <si>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</si>
  <si>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</si>
  <si>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</si>
  <si>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</si>
  <si>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</si>
  <si>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</si>
  <si>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</si>
  <si>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</si>
  <si>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</si>
  <si>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</si>
  <si>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</si>
  <si>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</si>
  <si>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</si>
  <si>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</si>
  <si>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</si>
  <si>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</si>
  <si>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</si>
  <si>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</si>
  <si>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</si>
  <si>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</si>
  <si>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</si>
  <si>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</si>
  <si>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</si>
  <si>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</si>
  <si>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</si>
  <si>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</si>
  <si>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</si>
  <si>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</si>
  <si>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</si>
  <si>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</si>
  <si>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</si>
  <si>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</si>
  <si>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</si>
  <si>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</si>
  <si>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</si>
  <si>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</si>
  <si>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</si>
  <si>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</si>
  <si>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</si>
  <si>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</si>
  <si>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</si>
  <si>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</si>
  <si>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</si>
  <si>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</si>
  <si>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</si>
  <si>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</si>
  <si>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</si>
  <si>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</si>
  <si>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</si>
  <si>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</si>
  <si>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</si>
  <si>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</si>
  <si>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</si>
  <si>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</si>
  <si>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</si>
  <si>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</si>
  <si>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</si>
  <si>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</si>
  <si>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</si>
  <si>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</si>
  <si>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</si>
  <si>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</si>
  <si>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</si>
  <si>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</si>
  <si>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</si>
  <si>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</si>
  <si>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</si>
  <si>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</si>
  <si>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</si>
  <si>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</si>
  <si>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</si>
  <si>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</si>
  <si>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</si>
  <si>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</si>
  <si>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</si>
  <si>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</si>
  <si>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</si>
  <si>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</si>
  <si>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</si>
  <si>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</si>
  <si>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</si>
  <si>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</si>
  <si>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</si>
  <si>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</si>
  <si>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</si>
  <si>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</si>
  <si>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</si>
  <si>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</si>
  <si>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</si>
  <si>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</si>
  <si>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</si>
  <si>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</si>
  <si>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</si>
  <si>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</si>
  <si>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</si>
  <si>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</si>
  <si>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</si>
  <si>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</si>
  <si>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</si>
  <si>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</si>
  <si>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</si>
  <si>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</si>
  <si>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</si>
  <si>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</si>
  <si>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</si>
  <si>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</si>
  <si>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</si>
  <si>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</si>
  <si>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</si>
  <si>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</si>
  <si>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</si>
  <si>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</si>
  <si>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</si>
  <si>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</si>
  <si>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</si>
  <si>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</si>
  <si>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</si>
  <si>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</si>
  <si>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</si>
  <si>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</si>
  <si>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</si>
  <si>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</si>
  <si>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</si>
  <si>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</si>
  <si>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</si>
  <si>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</si>
  <si>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</si>
  <si>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</si>
  <si>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</si>
  <si>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</si>
  <si>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</si>
  <si>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</si>
  <si>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</si>
  <si>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</si>
  <si>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</si>
  <si>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</si>
  <si>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</si>
  <si>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</si>
  <si>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</si>
  <si>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</si>
  <si>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</si>
  <si>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</si>
  <si>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</si>
  <si>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</si>
  <si>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</si>
  <si>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</si>
  <si>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</si>
  <si>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</si>
  <si>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</si>
  <si>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</si>
  <si>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</si>
  <si>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</si>
  <si>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</si>
  <si>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</si>
  <si>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</si>
  <si>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</si>
  <si>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</si>
  <si>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</si>
  <si>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</si>
  <si>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</si>
  <si>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</si>
  <si>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</si>
  <si>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</si>
  <si>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</si>
  <si>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</si>
  <si>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</si>
  <si>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</si>
  <si>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</si>
  <si>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</si>
  <si>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</si>
  <si>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</si>
  <si>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</si>
  <si>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</si>
  <si>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</si>
  <si>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</si>
  <si>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</si>
  <si>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</si>
  <si>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</si>
  <si>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</si>
  <si>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</si>
  <si>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</si>
  <si>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</si>
  <si>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</si>
  <si>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</si>
  <si>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</si>
  <si>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</si>
  <si>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</si>
  <si>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</si>
  <si>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</si>
  <si>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</si>
  <si>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</si>
  <si>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</si>
  <si>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</si>
  <si>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</si>
  <si>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</si>
  <si>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</si>
  <si>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</si>
  <si>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</si>
  <si>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</si>
  <si>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</si>
  <si>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</si>
  <si>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</si>
  <si>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</si>
  <si>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</si>
  <si>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</si>
  <si>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</si>
  <si>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</si>
  <si>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</si>
  <si>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</si>
  <si>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</si>
  <si>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</si>
  <si>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</si>
  <si>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</si>
  <si>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</si>
  <si>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</si>
  <si>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</si>
  <si>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</si>
  <si>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</si>
  <si>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</si>
  <si>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</si>
  <si>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</si>
  <si>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</si>
  <si>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</si>
  <si>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</si>
  <si>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</si>
  <si>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</si>
  <si>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</si>
  <si>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</si>
  <si>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</si>
  <si>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</si>
  <si>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</si>
  <si>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</si>
  <si>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</si>
  <si>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</si>
  <si>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</si>
  <si>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</si>
  <si>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</si>
  <si>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</si>
  <si>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</si>
  <si>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</si>
  <si>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</si>
  <si>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</si>
  <si>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</si>
  <si>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</si>
  <si>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</si>
  <si>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</si>
  <si>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</si>
  <si>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</si>
  <si>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</si>
  <si>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</si>
  <si>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</si>
  <si>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</si>
  <si>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</si>
  <si>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</si>
  <si>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</si>
  <si>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</si>
  <si>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</si>
  <si>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</si>
  <si>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</si>
  <si>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</si>
  <si>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</si>
  <si>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</si>
  <si>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</si>
  <si>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</si>
  <si>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</si>
  <si>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</si>
  <si>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</si>
  <si>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</si>
  <si>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</si>
  <si>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</si>
  <si>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</si>
  <si>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</si>
  <si>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</si>
  <si>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</si>
  <si>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</si>
  <si>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</si>
  <si>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</si>
  <si>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</si>
  <si>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</si>
  <si>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</si>
  <si>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</si>
  <si>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</si>
  <si>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</si>
  <si>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</si>
  <si>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</si>
  <si>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</si>
  <si>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</si>
  <si>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</si>
  <si>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</si>
  <si>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</si>
  <si>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</si>
  <si>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</si>
  <si>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</si>
  <si>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</si>
  <si>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</si>
  <si>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</si>
  <si>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</si>
  <si>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</si>
  <si>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</si>
  <si>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</si>
  <si>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</si>
  <si>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</si>
  <si>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</si>
  <si>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</si>
  <si>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</si>
  <si>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</si>
  <si>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</si>
  <si>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</si>
  <si>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</si>
  <si>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</si>
  <si>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</si>
  <si>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</si>
  <si>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</si>
  <si>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</si>
  <si>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</si>
  <si>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</si>
  <si>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</si>
  <si>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</si>
  <si>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</si>
  <si>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</si>
  <si>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</si>
  <si>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</si>
  <si>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</si>
  <si>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</si>
  <si>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</si>
  <si>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</si>
  <si>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</si>
  <si>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</si>
  <si>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</si>
  <si>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</si>
  <si>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</si>
  <si>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</si>
  <si>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</si>
  <si>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</si>
  <si>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</si>
  <si>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</si>
  <si>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</si>
  <si>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</si>
  <si>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</si>
  <si>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</si>
  <si>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</si>
  <si>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</si>
  <si>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</si>
  <si>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</si>
  <si>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</si>
  <si>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</si>
  <si>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</si>
  <si>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</si>
  <si>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</si>
  <si>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</si>
  <si>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</si>
  <si>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</si>
  <si>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</si>
  <si>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</si>
  <si>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</si>
  <si>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</si>
  <si>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</si>
  <si>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</si>
  <si>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</si>
  <si>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</si>
  <si>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</si>
  <si>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</si>
  <si>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</si>
  <si>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</si>
  <si>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</si>
  <si>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</si>
  <si>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</si>
  <si>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</si>
  <si>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</si>
  <si>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</si>
  <si>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</si>
  <si>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</si>
  <si>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</si>
  <si>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</si>
  <si>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</si>
  <si>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</si>
  <si>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</si>
  <si>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</si>
  <si>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</si>
  <si>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</si>
  <si>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</si>
  <si>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</si>
  <si>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</si>
  <si>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</si>
  <si>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</si>
  <si>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</si>
  <si>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</si>
  <si>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</si>
  <si>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</si>
  <si>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</si>
  <si>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</si>
  <si>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</si>
  <si>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</si>
  <si>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</si>
  <si>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</si>
  <si>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</si>
  <si>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</si>
  <si>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</si>
  <si>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</si>
  <si>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</si>
  <si>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</si>
  <si>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</si>
  <si>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</si>
  <si>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</si>
  <si>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</si>
  <si>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</si>
  <si>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</si>
  <si>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</si>
  <si>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</si>
  <si>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</si>
  <si>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</si>
  <si>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</si>
  <si>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</si>
  <si>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</si>
  <si>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</si>
  <si>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</si>
  <si>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</si>
  <si>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</si>
  <si>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</si>
  <si>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</si>
  <si>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</si>
  <si>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</si>
  <si>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</si>
  <si>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</si>
  <si>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</si>
  <si>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</si>
  <si>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</si>
  <si>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</si>
  <si>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</si>
  <si>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</si>
  <si>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</si>
  <si>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</si>
  <si>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</si>
  <si>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</si>
  <si>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</si>
  <si>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</si>
  <si>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</si>
  <si>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</si>
  <si>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</si>
  <si>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</si>
  <si>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</si>
  <si>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</si>
  <si>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</si>
  <si>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</si>
  <si>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</si>
  <si>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</si>
  <si>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</si>
  <si>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</si>
  <si>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</si>
  <si>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</si>
  <si>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</si>
  <si>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</si>
  <si>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</si>
  <si>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</si>
  <si>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</si>
  <si>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</si>
  <si>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</si>
  <si>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</si>
  <si>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</si>
  <si>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</si>
  <si>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</si>
  <si>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</si>
  <si>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</si>
  <si>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</si>
  <si>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</si>
  <si>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</si>
  <si>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</si>
  <si>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</si>
  <si>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</si>
  <si>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</si>
  <si>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</si>
  <si>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</si>
  <si>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</si>
  <si>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</si>
  <si>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</si>
  <si>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</si>
  <si>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</si>
  <si>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</si>
  <si>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</si>
  <si>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</si>
  <si>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</si>
  <si>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</si>
  <si>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</si>
  <si>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</si>
  <si>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</si>
  <si>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</si>
  <si>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</si>
  <si>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</si>
  <si>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</si>
  <si>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</si>
  <si>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</si>
  <si>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</si>
  <si>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</si>
  <si>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</si>
  <si>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</si>
  <si>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</si>
  <si>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</si>
  <si>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</si>
  <si>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</si>
  <si>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</si>
  <si>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</si>
  <si>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</si>
  <si>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</si>
  <si>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</si>
  <si>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</si>
  <si>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</si>
  <si>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</si>
  <si>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</si>
  <si>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</si>
  <si>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</si>
  <si>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</si>
  <si>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</si>
  <si>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</si>
  <si>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</si>
  <si>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</si>
  <si>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</si>
  <si>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</si>
  <si>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</si>
  <si>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</si>
  <si>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</si>
  <si>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</si>
  <si>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</si>
  <si>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</si>
  <si>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</si>
  <si>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</si>
  <si>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</si>
  <si>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</si>
  <si>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</si>
  <si>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</si>
  <si>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</si>
  <si>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</si>
  <si>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</si>
  <si>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</si>
  <si>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</si>
  <si>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</si>
  <si>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</si>
  <si>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</si>
  <si>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</si>
  <si>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</si>
  <si>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</si>
  <si>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</si>
  <si>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</si>
  <si>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</si>
  <si>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</si>
  <si>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</si>
  <si>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</si>
  <si>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</si>
  <si>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</si>
  <si>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</si>
  <si>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</si>
  <si>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</si>
  <si>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</si>
  <si>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</si>
  <si>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</si>
  <si>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</si>
  <si>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</si>
  <si>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</si>
  <si>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</si>
  <si>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</si>
  <si>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</si>
  <si>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</si>
  <si>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</si>
  <si>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</si>
  <si>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</si>
  <si>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</si>
  <si>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</si>
  <si>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</si>
  <si>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</si>
  <si>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</si>
  <si>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</si>
  <si>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</si>
  <si>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</si>
  <si>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</si>
  <si>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</si>
  <si>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</si>
  <si>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</si>
  <si>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</si>
  <si>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</si>
  <si>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</si>
  <si>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</si>
  <si>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</si>
  <si>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</si>
  <si>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</si>
  <si>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</si>
  <si>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</si>
  <si>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</si>
  <si>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</si>
  <si>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</si>
  <si>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</si>
  <si>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</si>
  <si>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</si>
  <si>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</si>
  <si>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</si>
  <si>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</si>
  <si>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</si>
  <si>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</si>
  <si>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</si>
  <si>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</si>
  <si>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</si>
  <si>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</si>
  <si>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</si>
  <si>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</si>
  <si>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</si>
  <si>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</si>
  <si>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</si>
  <si>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</si>
  <si>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</si>
  <si>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</si>
  <si>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</si>
  <si>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</si>
  <si>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</si>
  <si>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</si>
  <si>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</si>
  <si>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</si>
  <si>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</si>
  <si>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</si>
  <si>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</si>
  <si>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</si>
  <si>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</si>
  <si>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</si>
  <si>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</si>
  <si>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</si>
  <si>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</si>
  <si>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</si>
  <si>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</si>
  <si>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</si>
  <si>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</si>
  <si>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</si>
  <si>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</si>
  <si>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</si>
  <si>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</si>
  <si>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</si>
  <si>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</si>
  <si>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</si>
  <si>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</si>
  <si>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</si>
  <si>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</si>
  <si>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</si>
  <si>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</si>
  <si>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</si>
  <si>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</si>
  <si>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</si>
  <si>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</si>
  <si>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</si>
  <si>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</si>
  <si>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</si>
  <si>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</si>
  <si>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</si>
  <si>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</si>
  <si>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</si>
  <si>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</si>
  <si>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</si>
  <si>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</si>
  <si>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</si>
  <si>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</si>
  <si>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</si>
  <si>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</si>
  <si>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</si>
  <si>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</si>
  <si>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</si>
  <si>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</si>
  <si>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</si>
  <si>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</si>
  <si>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</si>
  <si>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</si>
  <si>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</si>
  <si>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</si>
  <si>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</si>
  <si>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</si>
  <si>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</si>
  <si>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</si>
  <si>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</si>
  <si>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</si>
  <si>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</si>
  <si>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</si>
  <si>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</si>
  <si>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</si>
  <si>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</si>
  <si>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</si>
  <si>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</si>
  <si>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</si>
  <si>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</si>
  <si>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</si>
  <si>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</si>
  <si>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</si>
  <si>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</si>
  <si>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</si>
  <si>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</si>
  <si>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</si>
  <si>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</si>
  <si>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</si>
  <si>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</si>
  <si>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</si>
  <si>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</si>
  <si>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</si>
  <si>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</si>
  <si>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</si>
  <si>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</si>
  <si>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</si>
  <si>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</si>
  <si>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</si>
  <si>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</si>
  <si>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</si>
  <si>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</si>
  <si>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</si>
  <si>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</si>
  <si>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</si>
  <si>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</si>
  <si>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</si>
  <si>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</si>
  <si>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</si>
  <si>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</si>
  <si>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</si>
  <si>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</si>
  <si>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</si>
  <si>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</si>
  <si>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</si>
  <si>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</si>
  <si>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</si>
  <si>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</si>
  <si>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</si>
  <si>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</si>
  <si>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</si>
  <si>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</si>
  <si>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</si>
  <si>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</si>
  <si>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</si>
  <si>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</si>
  <si>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</si>
  <si>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</si>
  <si>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</si>
  <si>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</si>
  <si>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</si>
  <si>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</si>
  <si>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</si>
  <si>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</si>
  <si>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</si>
  <si>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</si>
  <si>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</si>
  <si>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</si>
  <si>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</si>
  <si>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</si>
  <si>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</si>
  <si>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</si>
  <si>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</si>
  <si>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</si>
  <si>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</si>
  <si>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</si>
  <si>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</si>
  <si>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</si>
  <si>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</si>
  <si>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</si>
  <si>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</si>
  <si>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</si>
  <si>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</si>
  <si>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</si>
  <si>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</si>
  <si>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</si>
  <si>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</si>
  <si>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</si>
  <si>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</si>
  <si>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</si>
  <si>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</si>
  <si>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</si>
  <si>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</si>
  <si>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</si>
  <si>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</si>
  <si>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</si>
  <si>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</si>
  <si>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</si>
  <si>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</si>
  <si>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</si>
  <si>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</si>
  <si>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</si>
  <si>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</si>
  <si>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</si>
  <si>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</si>
  <si>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</si>
  <si>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</si>
  <si>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</si>
  <si>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</si>
  <si>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</si>
  <si>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</si>
  <si>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</si>
  <si>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</si>
  <si>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</si>
  <si>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</si>
  <si>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</si>
  <si>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</si>
  <si>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</si>
  <si>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</si>
  <si>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</si>
  <si>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</si>
  <si>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</si>
  <si>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</si>
  <si>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</si>
  <si>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</si>
  <si>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</si>
  <si>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</si>
  <si>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</si>
  <si>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</si>
  <si>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</si>
  <si>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</si>
  <si>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</si>
  <si>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</si>
  <si>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</si>
  <si>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</si>
  <si>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</si>
  <si>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</si>
  <si>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</si>
  <si>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</si>
  <si>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</si>
  <si>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</si>
  <si>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</si>
  <si>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</si>
  <si>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</si>
  <si>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</si>
  <si>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</si>
  <si>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</si>
  <si>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</si>
  <si>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</si>
  <si>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</si>
  <si>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</si>
  <si>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</si>
  <si>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</si>
  <si>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</si>
  <si>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</si>
  <si>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</si>
  <si>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</si>
  <si>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</si>
  <si>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</si>
  <si>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</si>
  <si>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</si>
  <si>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</si>
  <si>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</si>
  <si>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</si>
  <si>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</si>
  <si>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</si>
  <si>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</si>
  <si>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</si>
  <si>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</si>
  <si>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</si>
  <si>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</si>
  <si>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</si>
  <si>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</si>
  <si>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</si>
  <si>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</si>
  <si>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</si>
  <si>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</si>
  <si>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</si>
  <si>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</si>
  <si>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</si>
  <si>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</si>
  <si>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</si>
  <si>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</si>
  <si>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</si>
  <si>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</si>
  <si>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</si>
  <si>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</si>
  <si>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</si>
  <si>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</si>
  <si>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</si>
  <si>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</si>
  <si>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</si>
  <si>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</si>
  <si>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</si>
  <si>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</si>
  <si>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</si>
  <si>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</si>
  <si>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</si>
  <si>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</si>
  <si>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</si>
  <si>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</si>
  <si>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</si>
  <si>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</si>
  <si>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</si>
  <si>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</si>
  <si>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</si>
  <si>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</si>
  <si>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</si>
  <si>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</si>
  <si>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</si>
  <si>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</si>
  <si>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</si>
  <si>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</si>
  <si>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</si>
  <si>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</si>
  <si>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</si>
  <si>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</si>
  <si>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</si>
  <si>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</si>
  <si>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</si>
  <si>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</si>
  <si>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</si>
  <si>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</si>
  <si>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</si>
  <si>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</si>
  <si>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</si>
  <si>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</si>
  <si>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</si>
  <si>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</si>
  <si>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</si>
  <si>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</si>
  <si>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</si>
  <si>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</si>
  <si>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</si>
  <si>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</si>
  <si>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</si>
  <si>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</si>
  <si>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</si>
  <si>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</si>
  <si>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</si>
  <si>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</si>
  <si>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</si>
  <si>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</si>
  <si>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</si>
  <si>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</si>
  <si>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</si>
  <si>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</si>
  <si>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</si>
  <si>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</si>
  <si>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</si>
  <si>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</si>
  <si>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</si>
  <si>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</si>
  <si>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</si>
  <si>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</si>
  <si>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</si>
  <si>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</si>
  <si>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</si>
  <si>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</si>
  <si>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</si>
  <si>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</si>
  <si>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</si>
  <si>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</si>
  <si>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</si>
  <si>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</si>
  <si>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</si>
  <si>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</si>
  <si>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</si>
  <si>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</si>
  <si>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</si>
  <si>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</si>
  <si>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</si>
  <si>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</si>
  <si>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</si>
  <si>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</si>
  <si>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</si>
  <si>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</si>
  <si>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</si>
  <si>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</si>
  <si>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</si>
  <si>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</si>
  <si>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</si>
  <si>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</si>
  <si>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</si>
  <si>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</si>
  <si>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</si>
  <si>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</si>
  <si>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</si>
  <si>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</si>
  <si>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</si>
  <si>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</si>
  <si>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</si>
  <si>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</si>
  <si>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</si>
  <si>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</si>
  <si>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</si>
  <si>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</si>
  <si>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</si>
  <si>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</si>
  <si>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</si>
  <si>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</si>
  <si>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</si>
  <si>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</si>
  <si>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</si>
  <si>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</si>
  <si>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</si>
  <si>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</si>
  <si>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</si>
  <si>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</si>
  <si>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</si>
  <si>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</si>
  <si>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</si>
  <si>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</si>
  <si>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</si>
  <si>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</si>
  <si>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</si>
  <si>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</si>
  <si>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</si>
  <si>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</si>
  <si>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</si>
  <si>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</si>
  <si>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</si>
  <si>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</si>
  <si>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</si>
  <si>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</si>
  <si>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</si>
  <si>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</si>
  <si>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</si>
  <si>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</si>
  <si>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</si>
  <si>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</si>
  <si>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</si>
  <si>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</si>
  <si>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</si>
  <si>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</si>
  <si>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</si>
  <si>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</si>
  <si>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</si>
  <si>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</si>
  <si>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</si>
  <si>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</si>
  <si>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</si>
  <si>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</si>
  <si>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</si>
  <si>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</si>
  <si>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</si>
  <si>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</si>
  <si>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</si>
  <si>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</si>
  <si>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</si>
  <si>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</si>
  <si>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</si>
  <si>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</si>
  <si>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</si>
  <si>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</si>
  <si>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</si>
  <si>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</si>
  <si>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</si>
  <si>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</si>
  <si>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</si>
  <si>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</si>
  <si>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</si>
  <si>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</si>
  <si>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</si>
  <si>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</si>
  <si>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</si>
  <si>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</si>
  <si>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</si>
  <si>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</si>
  <si>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</si>
  <si>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</si>
  <si>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</si>
  <si>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</si>
  <si>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</si>
  <si>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</si>
  <si>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</si>
  <si>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</si>
  <si>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</si>
  <si>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</si>
  <si>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</si>
  <si>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</si>
  <si>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</si>
  <si>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</si>
  <si>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</si>
  <si>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</si>
  <si>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</si>
  <si>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</si>
  <si>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</si>
  <si>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</si>
  <si>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</si>
  <si>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</si>
  <si>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</si>
  <si>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</si>
  <si>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</si>
  <si>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</si>
  <si>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</si>
  <si>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</si>
  <si>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</si>
  <si>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</si>
  <si>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</si>
  <si>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</si>
  <si>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</si>
  <si>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</si>
  <si>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</si>
  <si>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</si>
  <si>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</si>
  <si>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</si>
  <si>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</si>
  <si>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</si>
  <si>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</si>
  <si>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</si>
  <si>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</si>
  <si>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</si>
  <si>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</si>
  <si>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</si>
  <si>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</si>
  <si>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</si>
  <si>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</si>
  <si>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</si>
  <si>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</si>
  <si>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</si>
  <si>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</si>
  <si>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</si>
  <si>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</si>
  <si>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</si>
  <si>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</si>
  <si>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</si>
  <si>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</si>
  <si>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</si>
  <si>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</si>
  <si>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</si>
  <si>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</si>
  <si>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</si>
  <si>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</si>
  <si>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</si>
  <si>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</si>
  <si>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</si>
  <si>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</si>
  <si>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</si>
  <si>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</si>
  <si>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</si>
  <si>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</si>
  <si>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</si>
  <si>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</si>
  <si>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</si>
  <si>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</si>
  <si>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</si>
  <si>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</si>
  <si>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</si>
  <si>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</si>
  <si>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</si>
  <si>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</si>
  <si>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</si>
  <si>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</si>
  <si>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</si>
  <si>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</si>
  <si>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</si>
  <si>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</si>
  <si>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</si>
  <si>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</si>
  <si>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</si>
  <si>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</si>
  <si>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</si>
  <si>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</si>
  <si>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</si>
  <si>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</si>
  <si>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</si>
  <si>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</si>
  <si>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</si>
  <si>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</si>
  <si>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</si>
  <si>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</si>
  <si>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</si>
  <si>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</si>
  <si>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</si>
  <si>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</si>
  <si>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</si>
  <si>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</si>
  <si>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</si>
  <si>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</si>
  <si>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</si>
  <si>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</si>
  <si>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</si>
  <si>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</si>
  <si>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</si>
  <si>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</si>
  <si>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</si>
  <si>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</si>
  <si>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</si>
  <si>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</si>
  <si>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</si>
  <si>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</si>
  <si>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</si>
  <si>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</si>
  <si>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</si>
  <si>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</si>
  <si>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</si>
  <si>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</si>
  <si>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</si>
  <si>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</si>
  <si>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</si>
  <si>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</si>
  <si>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</si>
  <si>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</si>
  <si>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</si>
  <si>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</si>
  <si>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</si>
  <si>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</si>
  <si>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</si>
  <si>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</si>
  <si>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</si>
  <si>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</si>
  <si>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</si>
  <si>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</si>
  <si>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</si>
  <si>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</si>
  <si>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</si>
  <si>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</si>
  <si>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</si>
  <si>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</si>
  <si>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</si>
  <si>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</si>
  <si>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</si>
  <si>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</si>
  <si>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</si>
  <si>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</si>
  <si>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</si>
  <si>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</si>
  <si>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</si>
  <si>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</si>
  <si>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</si>
  <si>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</si>
  <si>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</si>
  <si>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</si>
  <si>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</si>
  <si>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</si>
  <si>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</si>
  <si>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</si>
  <si>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</si>
  <si>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</si>
  <si>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</si>
  <si>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</si>
  <si>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</si>
  <si>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</si>
  <si>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</si>
  <si>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</si>
  <si>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</si>
  <si>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</si>
  <si>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</si>
  <si>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</si>
  <si>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</si>
  <si>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</si>
  <si>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</si>
  <si>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</si>
  <si>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</si>
  <si>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</si>
  <si>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</si>
  <si>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</si>
  <si>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</si>
  <si>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</si>
  <si>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</si>
  <si>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</si>
  <si>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</si>
  <si>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</si>
  <si>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</si>
  <si>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</si>
  <si>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</si>
  <si>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</si>
  <si>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</si>
  <si>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</si>
  <si>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</si>
  <si>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</si>
  <si>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</si>
  <si>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</si>
  <si>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</si>
  <si>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</si>
  <si>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</si>
  <si>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</si>
  <si>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</si>
  <si>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</si>
  <si>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</si>
  <si>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</si>
  <si>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</si>
  <si>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</si>
  <si>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</si>
  <si>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</si>
  <si>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</si>
  <si>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</si>
  <si>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</si>
  <si>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</si>
  <si>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</si>
  <si>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</si>
  <si>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</si>
  <si>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</si>
  <si>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</si>
  <si>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</si>
  <si>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</si>
  <si>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</si>
  <si>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</si>
  <si>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</si>
  <si>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</si>
  <si>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</si>
  <si>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</si>
  <si>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</si>
  <si>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</si>
  <si>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</si>
  <si>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</si>
  <si>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</si>
  <si>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</si>
  <si>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</si>
  <si>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</si>
  <si>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</si>
  <si>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</si>
  <si>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</si>
  <si>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</si>
  <si>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</si>
  <si>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</si>
  <si>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</si>
  <si>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</si>
  <si>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</si>
  <si>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</si>
  <si>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</si>
  <si>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</si>
  <si>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</si>
  <si>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</si>
  <si>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</si>
  <si>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</si>
  <si>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</si>
  <si>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</si>
  <si>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</si>
  <si>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</si>
  <si>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</si>
  <si>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</si>
  <si>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</si>
  <si>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</si>
  <si>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</si>
  <si>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</si>
  <si>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</si>
  <si>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</si>
  <si>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</si>
  <si>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</si>
  <si>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</si>
  <si>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</si>
  <si>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</si>
  <si>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</si>
  <si>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</si>
  <si>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</si>
  <si>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</si>
  <si>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</si>
  <si>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</si>
  <si>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</si>
  <si>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</si>
  <si>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</si>
  <si>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</si>
  <si>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</si>
  <si>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</si>
  <si>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</si>
  <si>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</si>
  <si>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</si>
  <si>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</si>
  <si>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</si>
  <si>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</si>
  <si>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</si>
  <si>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</si>
  <si>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</si>
  <si>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</si>
  <si>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</si>
  <si>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</si>
  <si>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</si>
  <si>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</si>
  <si>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</si>
  <si>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</si>
  <si>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</si>
  <si>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</si>
  <si>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</si>
  <si>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</si>
  <si>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</si>
  <si>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</si>
  <si>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</si>
  <si>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</si>
  <si>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</si>
  <si>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</si>
  <si>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</si>
  <si>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</si>
  <si>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</si>
  <si>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</si>
  <si>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</si>
  <si>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</si>
  <si>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</si>
  <si>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</si>
  <si>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</si>
  <si>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</si>
  <si>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</si>
  <si>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</si>
  <si>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</si>
  <si>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</si>
  <si>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</si>
  <si>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</si>
  <si>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</si>
  <si>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</si>
  <si>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</si>
  <si>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</si>
  <si>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</si>
  <si>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</si>
  <si>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</si>
  <si>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</si>
  <si>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</si>
  <si>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</si>
  <si>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</si>
  <si>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</si>
  <si>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</si>
  <si>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</si>
  <si>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</si>
  <si>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</si>
  <si>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</si>
  <si>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</si>
  <si>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</si>
  <si>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</si>
  <si>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</si>
  <si>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</si>
  <si>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</si>
  <si>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</si>
  <si>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</si>
  <si>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</si>
  <si>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</si>
  <si>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</si>
  <si>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</si>
  <si>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</si>
  <si>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</si>
  <si>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</si>
  <si>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</si>
  <si>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</si>
  <si>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</si>
  <si>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</si>
  <si>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</si>
  <si>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</si>
  <si>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</si>
  <si>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</si>
  <si>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</si>
  <si>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</si>
  <si>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</si>
  <si>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</si>
  <si>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</si>
  <si>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</si>
  <si>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</si>
  <si>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</si>
  <si>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</si>
  <si>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</si>
  <si>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</si>
  <si>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</si>
  <si>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</si>
  <si>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</si>
  <si>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</si>
  <si>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</si>
  <si>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</si>
  <si>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</si>
  <si>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</si>
  <si>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</si>
  <si>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</si>
  <si>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</si>
  <si>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</si>
  <si>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</si>
  <si>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</si>
  <si>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</si>
  <si>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</si>
  <si>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</si>
  <si>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</si>
  <si>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</si>
  <si>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</si>
  <si>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</si>
  <si>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</si>
  <si>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</si>
  <si>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</si>
  <si>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</si>
  <si>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</si>
  <si>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</si>
  <si>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</si>
  <si>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</si>
  <si>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</si>
  <si>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</si>
  <si>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</si>
  <si>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</si>
  <si>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</si>
  <si>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</si>
  <si>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</si>
  <si>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</si>
  <si>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</si>
  <si>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</si>
  <si>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</si>
  <si>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</si>
  <si>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</si>
  <si>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</si>
  <si>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</si>
  <si>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</si>
  <si>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</si>
  <si>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</si>
  <si>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</si>
  <si>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</si>
  <si>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</si>
  <si>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</si>
  <si>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</si>
  <si>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</si>
  <si>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</si>
  <si>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</si>
  <si>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</si>
  <si>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</si>
  <si>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</si>
  <si>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</si>
  <si>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</si>
  <si>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</si>
  <si>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</si>
  <si>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</si>
  <si>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</si>
  <si>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</si>
  <si>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</si>
  <si>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</si>
  <si>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</si>
  <si>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</si>
  <si>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</si>
  <si>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</si>
  <si>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</si>
  <si>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</si>
  <si>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</si>
  <si>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</si>
  <si>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</si>
  <si>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</si>
  <si>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</si>
  <si>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</si>
  <si>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</si>
  <si>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</si>
  <si>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</si>
  <si>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</si>
  <si>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</si>
  <si>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</si>
  <si>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</si>
  <si>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</si>
  <si>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</si>
  <si>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</si>
  <si>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</si>
  <si>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</si>
  <si>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</si>
  <si>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</si>
  <si>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</si>
  <si>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</si>
  <si>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</si>
  <si>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</si>
  <si>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</si>
  <si>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</si>
  <si>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</si>
  <si>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</si>
  <si>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</si>
  <si>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</si>
  <si>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</si>
  <si>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</si>
  <si>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</si>
  <si>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</si>
  <si>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</si>
  <si>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</si>
  <si>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</si>
  <si>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</si>
  <si>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</si>
  <si>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</si>
  <si>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</si>
  <si>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</si>
  <si>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</si>
  <si>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</si>
  <si>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</si>
  <si>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</si>
  <si>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</si>
  <si>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</si>
  <si>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</si>
  <si>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</si>
  <si>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</si>
  <si>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</si>
  <si>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</si>
  <si>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</si>
  <si>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</si>
  <si>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</si>
  <si>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</si>
  <si>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</si>
  <si>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</si>
  <si>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</si>
  <si>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</si>
  <si>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</si>
  <si>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</si>
  <si>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</si>
  <si>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</si>
  <si>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</si>
  <si>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</si>
  <si>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</si>
  <si>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</si>
  <si>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</si>
  <si>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</si>
  <si>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</si>
  <si>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</si>
  <si>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</si>
  <si>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</si>
  <si>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</si>
  <si>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</si>
  <si>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</si>
  <si>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</si>
  <si>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</si>
  <si>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</si>
  <si>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</si>
  <si>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</si>
  <si>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</si>
  <si>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</si>
  <si>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</si>
  <si>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</si>
  <si>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</si>
  <si>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</si>
  <si>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</si>
  <si>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</si>
  <si>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</si>
  <si>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</si>
  <si>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</si>
  <si>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</si>
  <si>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</si>
  <si>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</si>
  <si>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</si>
  <si>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</si>
  <si>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</si>
  <si>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</si>
  <si>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</si>
  <si>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</si>
  <si>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</si>
  <si>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</si>
  <si>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</si>
  <si>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</si>
  <si>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</si>
  <si>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</si>
  <si>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</si>
  <si>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</si>
  <si>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</si>
  <si>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</si>
  <si>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</si>
  <si>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</si>
  <si>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</si>
  <si>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</si>
  <si>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</si>
  <si>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</si>
  <si>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</si>
  <si>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</si>
  <si>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</si>
  <si>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</si>
  <si>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</si>
  <si>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</si>
  <si>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</si>
  <si>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</si>
  <si>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</si>
  <si>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</si>
  <si>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</si>
  <si>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</si>
  <si>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</si>
  <si>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</si>
  <si>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</si>
  <si>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</si>
  <si>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</si>
  <si>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</si>
  <si>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</si>
  <si>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</si>
  <si>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</si>
  <si>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</si>
  <si>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</si>
  <si>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</si>
  <si>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</si>
  <si>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</si>
  <si>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</si>
  <si>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</si>
  <si>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</si>
  <si>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</si>
  <si>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</si>
  <si>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</si>
  <si>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</si>
  <si>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</si>
  <si>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</si>
  <si>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</si>
  <si>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</si>
  <si>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</si>
  <si>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</si>
  <si>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</si>
  <si>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</si>
  <si>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</si>
  <si>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</si>
  <si>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</si>
  <si>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</si>
  <si>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</si>
  <si>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</si>
  <si>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</si>
  <si>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</si>
  <si>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</si>
  <si>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</si>
  <si>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</si>
  <si>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</si>
  <si>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</si>
  <si>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</si>
  <si>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</si>
  <si>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</si>
  <si>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</si>
  <si>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</si>
  <si>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</si>
  <si>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</si>
  <si>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</si>
  <si>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</si>
  <si>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</si>
  <si>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</si>
  <si>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</si>
  <si>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</si>
  <si>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</si>
  <si>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</si>
  <si>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</si>
  <si>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</si>
  <si>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</si>
  <si>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</si>
  <si>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</si>
  <si>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</si>
  <si>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</si>
  <si>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</si>
  <si>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</si>
  <si>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</si>
  <si>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</si>
  <si>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</si>
  <si>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</si>
  <si>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</si>
  <si>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</si>
  <si>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</si>
  <si>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</si>
  <si>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</si>
  <si>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</si>
  <si>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</si>
  <si>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</si>
  <si>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</si>
  <si>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</si>
  <si>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</si>
  <si>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</si>
  <si>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</si>
  <si>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</si>
  <si>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</si>
  <si>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</si>
  <si>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</si>
  <si>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</si>
  <si>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</si>
  <si>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</si>
  <si>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</si>
  <si>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</si>
  <si>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</si>
  <si>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</si>
  <si>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</si>
  <si>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</si>
  <si>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</si>
  <si>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</si>
  <si>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</si>
  <si>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</si>
  <si>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</si>
  <si>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</si>
  <si>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</si>
  <si>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</si>
  <si>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</si>
  <si>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</si>
  <si>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</si>
  <si>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</si>
  <si>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</si>
  <si>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</si>
  <si>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</si>
  <si>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</si>
  <si>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</si>
  <si>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</si>
  <si>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</si>
  <si>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</si>
  <si>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</si>
  <si>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</si>
  <si>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</si>
  <si>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</si>
  <si>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</si>
  <si>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</si>
  <si>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</si>
  <si>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</si>
  <si>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</si>
  <si>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</si>
  <si>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</si>
  <si>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</si>
  <si>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</si>
  <si>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</si>
  <si>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</si>
  <si>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</si>
  <si>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</si>
  <si>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</si>
  <si>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</si>
  <si>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</si>
  <si>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</si>
  <si>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</si>
  <si>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</si>
  <si>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</si>
  <si>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</si>
  <si>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</si>
  <si>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</si>
  <si>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</si>
  <si>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</si>
  <si>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</si>
  <si>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</si>
  <si>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</si>
  <si>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</si>
  <si>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</si>
  <si>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</si>
  <si>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</si>
  <si>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</si>
  <si>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</si>
  <si>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</si>
  <si>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</si>
  <si>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</si>
  <si>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</si>
  <si>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</si>
  <si>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</si>
  <si>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</si>
  <si>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</si>
  <si>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</si>
  <si>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</si>
  <si>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</si>
  <si>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</si>
  <si>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</si>
  <si>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</si>
  <si>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</si>
  <si>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</si>
  <si>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</si>
  <si>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</si>
  <si>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</si>
  <si>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</si>
  <si>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</si>
  <si>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</si>
  <si>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</si>
  <si>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</si>
  <si>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</si>
  <si>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</si>
  <si>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</si>
  <si>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</si>
  <si>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</si>
  <si>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</si>
  <si>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</si>
  <si>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</si>
  <si>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</si>
  <si>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</si>
  <si>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</si>
  <si>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</si>
  <si>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</si>
  <si>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</si>
  <si>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</si>
  <si>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</si>
  <si>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</si>
  <si>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</si>
  <si>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</si>
  <si>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</si>
  <si>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</si>
  <si>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</si>
  <si>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</si>
  <si>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</si>
  <si>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</si>
  <si>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</si>
  <si>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</si>
  <si>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</si>
  <si>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</si>
  <si>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</si>
  <si>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</si>
  <si>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</si>
  <si>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</si>
  <si>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</si>
  <si>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</si>
  <si>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</si>
  <si>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</si>
  <si>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</si>
  <si>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</si>
  <si>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</si>
  <si>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</si>
  <si>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</si>
  <si>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</si>
  <si>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</si>
  <si>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</si>
  <si>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</si>
  <si>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</si>
  <si>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</si>
  <si>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</si>
  <si>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</si>
  <si>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</si>
  <si>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</si>
  <si>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</si>
  <si>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</si>
  <si>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</si>
  <si>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</si>
  <si>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</si>
  <si>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</si>
  <si>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</si>
  <si>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</si>
  <si>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</si>
  <si>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</si>
  <si>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</si>
  <si>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</si>
  <si>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</si>
  <si>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</si>
  <si>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</si>
  <si>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</si>
  <si>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</si>
  <si>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</si>
  <si>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</si>
  <si>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</si>
  <si>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</si>
  <si>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</si>
  <si>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</si>
  <si>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</si>
  <si>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</si>
  <si>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</si>
  <si>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</si>
  <si>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</si>
  <si>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</si>
  <si>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</si>
  <si>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</si>
  <si>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</si>
  <si>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</si>
  <si>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</si>
  <si>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</si>
  <si>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</si>
  <si>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</si>
  <si>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</si>
  <si>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</si>
  <si>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</si>
  <si>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</si>
  <si>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</si>
  <si>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</si>
  <si>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</si>
  <si>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</si>
  <si>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</si>
  <si>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</si>
  <si>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</si>
  <si>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</si>
  <si>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</si>
  <si>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</si>
  <si>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</si>
  <si>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</si>
  <si>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</si>
  <si>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</si>
  <si>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</si>
  <si>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</si>
  <si>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</si>
  <si>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</si>
  <si>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</si>
  <si>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</si>
  <si>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</si>
  <si>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</si>
  <si>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</si>
  <si>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</si>
  <si>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</si>
  <si>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</si>
  <si>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</si>
  <si>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</si>
  <si>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</si>
  <si>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</si>
  <si>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</si>
  <si>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</si>
  <si>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</si>
  <si>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</si>
  <si>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</si>
  <si>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</si>
  <si>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</si>
  <si>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</si>
  <si>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</si>
  <si>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</si>
  <si>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</si>
  <si>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</si>
  <si>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</si>
  <si>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</si>
  <si>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</si>
  <si>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</si>
  <si>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</si>
  <si>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</si>
  <si>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</si>
  <si>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</si>
  <si>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</si>
  <si>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</si>
  <si>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</si>
  <si>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</si>
  <si>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</si>
  <si>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</si>
  <si>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</si>
  <si>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</si>
  <si>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</si>
  <si>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</si>
  <si>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</si>
  <si>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</si>
  <si>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</si>
  <si>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</si>
  <si>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</si>
  <si>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</si>
  <si>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</si>
  <si>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</si>
  <si>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</si>
  <si>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</si>
  <si>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</si>
  <si>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</si>
  <si>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</si>
  <si>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</si>
  <si>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</si>
  <si>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</si>
  <si>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</si>
  <si>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</si>
  <si>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</si>
  <si>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</si>
  <si>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</si>
  <si>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</si>
  <si>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</si>
  <si>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</si>
  <si>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</si>
  <si>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</si>
  <si>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</si>
  <si>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</si>
  <si>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</si>
  <si>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</si>
  <si>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</si>
  <si>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</si>
  <si>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</si>
  <si>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</si>
  <si>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</si>
  <si>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</si>
  <si>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</si>
  <si>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</si>
  <si>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</si>
  <si>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</si>
  <si>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</si>
  <si>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</si>
  <si>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</si>
  <si>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</si>
  <si>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</si>
  <si>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</si>
  <si>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</si>
  <si>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</si>
  <si>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</si>
  <si>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</si>
  <si>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</si>
  <si>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</si>
  <si>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</si>
  <si>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</si>
  <si>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</si>
  <si>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</si>
  <si>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</si>
  <si>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</si>
  <si>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</si>
  <si>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</si>
  <si>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</si>
  <si>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</si>
  <si>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</si>
  <si>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</si>
  <si>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</si>
  <si>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</si>
  <si>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</si>
  <si>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</si>
  <si>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</si>
  <si>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</si>
  <si>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</si>
  <si>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</si>
  <si>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</si>
  <si>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</si>
  <si>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</si>
  <si>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</si>
  <si>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</si>
  <si>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</si>
  <si>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</si>
  <si>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</si>
  <si>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</si>
  <si>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</si>
  <si>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</si>
  <si>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</si>
  <si>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</si>
  <si>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</si>
  <si>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</si>
  <si>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</si>
  <si>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</si>
  <si>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</si>
  <si>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</si>
  <si>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</si>
  <si>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</si>
  <si>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</si>
  <si>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</si>
  <si>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</si>
  <si>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</si>
  <si>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</si>
  <si>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</si>
  <si>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</si>
  <si>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</si>
  <si>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</si>
  <si>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</si>
  <si>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</si>
  <si>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</si>
  <si>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</si>
  <si>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</si>
  <si>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</si>
  <si>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</si>
  <si>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</si>
  <si>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</si>
  <si>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</si>
  <si>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</si>
  <si>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</si>
  <si>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</si>
  <si>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</si>
  <si>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</si>
  <si>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</si>
  <si>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</si>
  <si>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</si>
  <si>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</si>
  <si>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</si>
  <si>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</si>
  <si>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</si>
  <si>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</si>
  <si>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</si>
  <si>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</si>
  <si>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</si>
  <si>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</si>
  <si>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</si>
  <si>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</si>
  <si>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</si>
  <si>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</si>
  <si>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</si>
  <si>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</si>
  <si>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</si>
  <si>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</si>
  <si>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</si>
  <si>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</si>
  <si>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</si>
  <si>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</si>
  <si>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</si>
  <si>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</si>
  <si>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</si>
  <si>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</si>
  <si>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</si>
  <si>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</si>
  <si>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</si>
  <si>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</si>
  <si>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</si>
  <si>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</si>
  <si>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</si>
  <si>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</si>
  <si>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</si>
  <si>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</si>
  <si>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</si>
  <si>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</si>
  <si>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</si>
  <si>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</si>
  <si>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</si>
  <si>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</si>
  <si>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</si>
  <si>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</si>
  <si>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</si>
  <si>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</si>
  <si>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</si>
  <si>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</si>
  <si>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</si>
  <si>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</si>
  <si>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</si>
  <si>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</si>
  <si>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</si>
  <si>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</si>
  <si>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</si>
  <si>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</si>
  <si>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</si>
  <si>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</si>
  <si>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</si>
  <si>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</si>
  <si>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</si>
  <si>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</si>
  <si>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</si>
  <si>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</si>
  <si>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</si>
  <si>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</si>
  <si>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</si>
  <si>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</si>
  <si>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</si>
  <si>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</si>
  <si>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</si>
  <si>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</si>
  <si>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</si>
  <si>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</si>
  <si>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</si>
  <si>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</si>
  <si>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</si>
  <si>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</si>
  <si>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</si>
  <si>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</si>
  <si>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</si>
  <si>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</si>
  <si>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</si>
  <si>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</si>
  <si>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</si>
  <si>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</si>
  <si>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</si>
  <si>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</si>
  <si>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</si>
  <si>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</si>
  <si>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</si>
  <si>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</si>
  <si>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</si>
  <si>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</si>
  <si>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</si>
  <si>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</si>
  <si>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</si>
  <si>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</si>
  <si>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</si>
  <si>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</si>
  <si>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</si>
  <si>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</si>
  <si>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</si>
  <si>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</si>
  <si>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</si>
  <si>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</si>
  <si>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</si>
  <si>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</si>
  <si>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</si>
  <si>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</si>
  <si>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</si>
  <si>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</si>
  <si>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</si>
  <si>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</si>
  <si>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</si>
  <si>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</si>
  <si>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</si>
  <si>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</si>
  <si>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</si>
  <si>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</si>
  <si>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</si>
  <si>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</si>
  <si>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</si>
  <si>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</si>
  <si>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</si>
  <si>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</si>
  <si>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</si>
  <si>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</si>
  <si>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</si>
  <si>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</si>
  <si>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</si>
  <si>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</si>
  <si>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</si>
  <si>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</si>
  <si>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</si>
  <si>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</si>
  <si>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</si>
  <si>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</si>
  <si>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</si>
  <si>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</si>
  <si>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</si>
  <si>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</si>
  <si>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</si>
  <si>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</si>
  <si>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</si>
  <si>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</si>
  <si>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</si>
  <si>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</si>
  <si>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</si>
  <si>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</si>
  <si>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</si>
  <si>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</si>
  <si>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</si>
  <si>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</si>
  <si>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</si>
  <si>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</si>
  <si>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</si>
  <si>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</si>
  <si>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</si>
  <si>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</si>
  <si>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</si>
  <si>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</si>
  <si>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</si>
  <si>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</si>
  <si>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</si>
  <si>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</si>
  <si>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</si>
  <si>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</si>
  <si>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</si>
  <si>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</si>
  <si>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</si>
  <si>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</si>
  <si>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</si>
  <si>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</si>
  <si>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</si>
  <si>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</si>
  <si>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</si>
  <si>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</si>
  <si>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</si>
  <si>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</si>
  <si>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</si>
  <si>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</si>
  <si>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</si>
  <si>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</si>
  <si>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</si>
  <si>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</si>
  <si>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</si>
  <si>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</si>
  <si>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</si>
  <si>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</si>
  <si>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</si>
  <si>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</si>
  <si>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</si>
  <si>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</si>
  <si>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</si>
  <si>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</si>
  <si>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</si>
  <si>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</si>
  <si>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</si>
  <si>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</si>
  <si>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</si>
  <si>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</si>
  <si>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</si>
  <si>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</si>
  <si>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</si>
  <si>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</si>
  <si>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</si>
  <si>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</si>
  <si>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</si>
  <si>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</si>
  <si>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</si>
  <si>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</si>
  <si>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</si>
  <si>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</si>
  <si>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</si>
  <si>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</si>
  <si>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</si>
  <si>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</si>
  <si>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</si>
  <si>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</si>
  <si>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</si>
  <si>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</si>
  <si>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</si>
  <si>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</si>
  <si>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</si>
  <si>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</si>
  <si>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</si>
  <si>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</si>
  <si>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</si>
  <si>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</si>
  <si>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</si>
  <si>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</si>
  <si>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</si>
  <si>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</si>
  <si>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</si>
  <si>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</si>
  <si>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</si>
  <si>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</si>
  <si>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</si>
  <si>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</si>
  <si>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</si>
  <si>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</si>
  <si>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</si>
  <si>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</si>
  <si>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</si>
  <si>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</si>
  <si>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</si>
  <si>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</si>
  <si>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</si>
  <si>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</si>
  <si>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</si>
  <si>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</si>
  <si>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</si>
  <si>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</si>
  <si>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</si>
  <si>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</si>
  <si>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</si>
  <si>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</si>
  <si>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</si>
  <si>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</si>
  <si>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</si>
  <si>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</si>
  <si>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</si>
  <si>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</si>
  <si>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</si>
  <si>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</si>
  <si>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</si>
  <si>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</si>
  <si>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</si>
  <si>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</si>
  <si>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</si>
  <si>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</si>
  <si>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</si>
  <si>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</si>
  <si>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</si>
  <si>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</si>
  <si>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</si>
  <si>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</si>
  <si>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</si>
  <si>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</si>
  <si>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</si>
  <si>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</si>
  <si>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</si>
  <si>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</si>
  <si>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</si>
  <si>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</si>
  <si>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</si>
  <si>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</si>
  <si>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</si>
  <si>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</si>
  <si>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</si>
  <si>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</si>
  <si>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</si>
  <si>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</si>
  <si>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</si>
  <si>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</si>
  <si>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</si>
  <si>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</si>
  <si>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</si>
  <si>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</si>
  <si>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</si>
  <si>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</si>
  <si>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</si>
  <si>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</si>
  <si>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</si>
  <si>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</si>
  <si>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</si>
  <si>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</si>
  <si>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</si>
  <si>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</si>
  <si>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</si>
  <si>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</si>
  <si>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</si>
  <si>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</si>
  <si>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</si>
  <si>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</si>
  <si>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</si>
  <si>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</si>
  <si>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</si>
  <si>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</si>
  <si>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</si>
  <si>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</si>
  <si>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</si>
  <si>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</si>
  <si>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</si>
  <si>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</si>
  <si>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</si>
  <si>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</si>
  <si>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</si>
  <si>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</si>
  <si>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</si>
  <si>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</si>
  <si>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</si>
  <si>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</si>
  <si>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</si>
  <si>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</si>
  <si>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</si>
  <si>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</si>
  <si>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</si>
  <si>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</si>
  <si>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</si>
  <si>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</si>
  <si>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</si>
  <si>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</si>
  <si>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</si>
  <si>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</si>
  <si>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</si>
  <si>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</si>
  <si>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</si>
  <si>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</si>
  <si>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</si>
  <si>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</si>
  <si>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</si>
  <si>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</si>
  <si>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</si>
  <si>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</si>
  <si>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</si>
  <si>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</si>
  <si>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</si>
  <si>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</si>
  <si>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</si>
  <si>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</si>
  <si>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</si>
  <si>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</si>
  <si>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</si>
  <si>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</si>
  <si>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</si>
  <si>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</si>
  <si>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</si>
  <si>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</si>
  <si>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</si>
  <si>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</si>
  <si>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</si>
  <si>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</si>
  <si>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</si>
  <si>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</si>
  <si>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</si>
  <si>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</si>
  <si>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</si>
  <si>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</si>
  <si>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</si>
  <si>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</si>
  <si>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</si>
  <si>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</si>
  <si>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</si>
  <si>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</si>
  <si>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</si>
  <si>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</si>
  <si>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</si>
  <si>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</si>
  <si>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</si>
  <si>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</si>
  <si>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</si>
  <si>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</si>
  <si>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</si>
  <si>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</si>
  <si>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</si>
  <si>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</si>
  <si>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</si>
  <si>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</si>
  <si>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</si>
  <si>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</si>
  <si>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</si>
  <si>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</si>
  <si>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</si>
  <si>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</si>
  <si>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</si>
  <si>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</si>
  <si>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</si>
  <si>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</si>
  <si>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</si>
  <si>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</si>
  <si>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</si>
  <si>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</si>
  <si>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</si>
  <si>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</si>
  <si>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</si>
  <si>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</si>
  <si>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</si>
  <si>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</si>
  <si>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</si>
  <si>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</si>
  <si>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</si>
  <si>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</si>
  <si>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</si>
  <si>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</si>
  <si>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</si>
  <si>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</si>
  <si>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</si>
  <si>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</si>
  <si>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</si>
  <si>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</si>
  <si>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</si>
  <si>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</si>
  <si>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</si>
  <si>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</si>
  <si>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</si>
  <si>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</si>
  <si>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</si>
  <si>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</si>
  <si>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</si>
  <si>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</si>
  <si>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</si>
  <si>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</si>
  <si>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</si>
  <si>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</si>
  <si>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</si>
  <si>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</si>
  <si>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</si>
  <si>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</si>
  <si>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</si>
  <si>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</si>
  <si>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</si>
  <si>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</si>
  <si>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</si>
  <si>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</si>
  <si>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</si>
  <si>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</si>
  <si>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</si>
  <si>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</si>
  <si>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</si>
  <si>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</si>
  <si>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</si>
  <si>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</si>
  <si>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</si>
  <si>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</si>
  <si>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</si>
  <si>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</si>
  <si>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</si>
  <si>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</si>
  <si>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</si>
  <si>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</si>
  <si>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</si>
  <si>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</si>
  <si>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</si>
  <si>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</si>
  <si>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</si>
  <si>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</si>
  <si>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</si>
  <si>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</si>
  <si>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</si>
  <si>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</si>
  <si>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</si>
  <si>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</si>
  <si>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</si>
  <si>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</si>
  <si>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</si>
  <si>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</si>
  <si>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</si>
  <si>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</si>
  <si>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</si>
  <si>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</si>
  <si>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</si>
  <si>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</si>
  <si>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</si>
  <si>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</si>
  <si>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</si>
  <si>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</si>
  <si>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</si>
  <si>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</si>
  <si>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</si>
  <si>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</si>
  <si>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</si>
  <si>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</si>
  <si>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</si>
  <si>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</si>
  <si>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</si>
  <si>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</si>
  <si>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</si>
  <si>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</si>
  <si>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</si>
  <si>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</si>
  <si>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</si>
  <si>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</si>
  <si>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</si>
  <si>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</si>
  <si>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</si>
  <si>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</si>
  <si>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</si>
  <si>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</si>
  <si>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</si>
  <si>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</si>
  <si>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</si>
  <si>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</si>
  <si>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</si>
  <si>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</si>
  <si>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</si>
  <si>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</si>
  <si>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</si>
  <si>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</si>
  <si>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</si>
  <si>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</si>
  <si>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</si>
  <si>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</si>
  <si>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</si>
  <si>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</si>
  <si>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</si>
  <si>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</si>
  <si>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</si>
  <si>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</si>
  <si>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</si>
  <si>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</si>
  <si>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</si>
  <si>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</si>
  <si>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</si>
  <si>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</si>
  <si>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</si>
  <si>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</si>
  <si>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</si>
  <si>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</si>
  <si>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</si>
  <si>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</si>
  <si>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</si>
  <si>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</si>
  <si>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</si>
  <si>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</si>
  <si>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</si>
  <si>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</si>
  <si>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</si>
  <si>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</si>
  <si>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</si>
  <si>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</si>
  <si>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</si>
  <si>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</si>
  <si>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</si>
  <si>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</si>
  <si>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</si>
  <si>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</si>
  <si>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</si>
  <si>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</si>
  <si>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</si>
  <si>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</si>
  <si>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</si>
  <si>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</si>
  <si>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</si>
  <si>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</si>
  <si>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</si>
  <si>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</si>
  <si>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</si>
  <si>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</si>
  <si>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</si>
  <si>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</si>
  <si>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</si>
  <si>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</si>
  <si>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</si>
  <si>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</si>
  <si>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</si>
  <si>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</si>
  <si>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</si>
  <si>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</si>
  <si>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</si>
  <si>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</si>
  <si>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</si>
  <si>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</si>
  <si>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</si>
  <si>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</si>
  <si>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</si>
  <si>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</si>
  <si>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</si>
  <si>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</si>
  <si>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</si>
  <si>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</si>
  <si>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</si>
  <si>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</si>
  <si>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</si>
  <si>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</si>
  <si>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</si>
  <si>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</si>
  <si>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</si>
  <si>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</si>
  <si>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</si>
  <si>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</si>
  <si>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</si>
  <si>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</si>
  <si>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</si>
  <si>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</si>
  <si>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</si>
  <si>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</si>
  <si>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</si>
  <si>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</si>
  <si>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</si>
  <si>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</si>
  <si>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</si>
  <si>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</si>
  <si>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</si>
  <si>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</si>
  <si>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</si>
  <si>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</si>
  <si>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</si>
  <si>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</si>
  <si>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</si>
  <si>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</si>
  <si>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</si>
  <si>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</si>
  <si>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</si>
  <si>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</si>
  <si>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</si>
  <si>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</si>
  <si>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</si>
  <si>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</si>
  <si>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</si>
  <si>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</si>
  <si>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</si>
  <si>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</si>
  <si>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</si>
  <si>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</si>
  <si>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</si>
  <si>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</si>
  <si>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</si>
  <si>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</si>
  <si>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</si>
  <si>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</si>
  <si>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</si>
  <si>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</si>
  <si>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</si>
  <si>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</si>
  <si>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</si>
  <si>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</si>
  <si>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</si>
  <si>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</si>
  <si>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</si>
  <si>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</si>
  <si>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</si>
  <si>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</si>
  <si>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</si>
  <si>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</si>
  <si>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</si>
  <si>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</si>
  <si>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</si>
  <si>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</si>
  <si>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</si>
  <si>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</si>
  <si>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</si>
  <si>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</si>
  <si>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</si>
  <si>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</si>
  <si>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</si>
  <si>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</si>
  <si>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</si>
  <si>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</si>
  <si>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</si>
  <si>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</si>
  <si>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</si>
  <si>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</si>
  <si>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</si>
  <si>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</si>
  <si>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</si>
  <si>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</si>
  <si>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</si>
  <si>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</si>
  <si>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</si>
  <si>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</si>
  <si>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</si>
  <si>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</si>
  <si>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</si>
  <si>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</si>
  <si>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</si>
  <si>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</si>
  <si>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</si>
  <si>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</si>
  <si>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</si>
  <si>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</si>
  <si>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</si>
  <si>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</si>
  <si>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</si>
  <si>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</si>
  <si>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</si>
  <si>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</si>
  <si>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</si>
  <si>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</si>
  <si>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</si>
  <si>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</si>
  <si>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</si>
  <si>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</si>
  <si>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</si>
  <si>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</si>
  <si>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</si>
  <si>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</si>
  <si>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</si>
  <si>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</si>
  <si>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</si>
  <si>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</si>
  <si>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</si>
  <si>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</si>
  <si>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</si>
  <si>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</si>
  <si>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</si>
  <si>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</si>
  <si>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</si>
  <si>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</si>
  <si>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</si>
  <si>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</si>
  <si>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</si>
  <si>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</si>
  <si>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</si>
  <si>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</si>
  <si>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</si>
  <si>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</si>
  <si>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</si>
  <si>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</si>
  <si>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</si>
  <si>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</si>
  <si>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</si>
  <si>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</si>
  <si>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</si>
  <si>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</si>
  <si>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</si>
  <si>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</si>
  <si>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</si>
  <si>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</si>
  <si>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</si>
  <si>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</si>
  <si>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</si>
  <si>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</si>
  <si>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</si>
  <si>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</si>
  <si>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</si>
  <si>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</si>
  <si>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</si>
  <si>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</si>
  <si>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</si>
  <si>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</si>
  <si>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</si>
  <si>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</si>
  <si>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</si>
  <si>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</si>
  <si>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</si>
  <si>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</si>
  <si>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</si>
  <si>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</si>
  <si>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</si>
  <si>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</si>
  <si>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</si>
  <si>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</si>
  <si>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</si>
  <si>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</si>
  <si>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</si>
  <si>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</si>
  <si>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</si>
  <si>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</si>
  <si>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</si>
  <si>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</si>
  <si>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</si>
  <si>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</si>
  <si>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</si>
  <si>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</si>
  <si>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</si>
  <si>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</si>
  <si>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</si>
  <si>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</si>
  <si>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</si>
  <si>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</si>
  <si>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</si>
  <si>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</si>
  <si>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</si>
  <si>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</si>
  <si>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</si>
  <si>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</si>
  <si>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</si>
  <si>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</si>
  <si>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</si>
  <si>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</si>
  <si>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</si>
  <si>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</si>
  <si>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</si>
  <si>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</si>
  <si>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</si>
  <si>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</si>
  <si>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</si>
  <si>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</si>
  <si>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</si>
  <si>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</si>
  <si>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</si>
  <si>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</si>
  <si>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</si>
  <si>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</si>
  <si>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</si>
  <si>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</si>
  <si>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</si>
  <si>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</si>
  <si>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</si>
  <si>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</si>
  <si>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</si>
  <si>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</si>
  <si>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</si>
  <si>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</si>
  <si>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</si>
  <si>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</si>
  <si>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</si>
  <si>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</si>
  <si>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</si>
  <si>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</si>
  <si>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</si>
  <si>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</si>
  <si>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</si>
  <si>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</si>
  <si>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</si>
  <si>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</si>
  <si>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</si>
  <si>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</si>
  <si>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</si>
  <si>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</si>
  <si>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</si>
  <si>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</si>
  <si>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</si>
  <si>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</si>
  <si>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</si>
  <si>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</si>
  <si>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</si>
  <si>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</si>
  <si>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</si>
  <si>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</si>
  <si>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</si>
  <si>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</si>
  <si>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</si>
  <si>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</si>
  <si>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</si>
  <si>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</si>
  <si>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</si>
  <si>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</si>
  <si>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</si>
  <si>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</si>
  <si>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</si>
  <si>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</si>
  <si>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</si>
  <si>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</si>
  <si>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</si>
  <si>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</si>
  <si>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</si>
  <si>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</si>
  <si>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</si>
  <si>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</si>
  <si>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</si>
  <si>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</si>
  <si>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</si>
  <si>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</si>
  <si>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</si>
  <si>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</si>
  <si>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</si>
  <si>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</si>
  <si>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</si>
  <si>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</si>
  <si>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</si>
  <si>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</si>
  <si>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</si>
  <si>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</si>
  <si>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</si>
  <si>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</si>
  <si>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</si>
  <si>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</si>
  <si>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</si>
  <si>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</si>
  <si>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</si>
  <si>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</si>
  <si>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</si>
  <si>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</si>
  <si>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</si>
  <si>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</si>
  <si>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</si>
  <si>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</si>
  <si>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</si>
  <si>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</si>
  <si>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</si>
  <si>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</si>
  <si>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</si>
  <si>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</si>
  <si>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</si>
  <si>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</si>
  <si>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</si>
  <si>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</si>
  <si>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</si>
  <si>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</si>
  <si>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</si>
  <si>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</si>
  <si>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</si>
  <si>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</si>
  <si>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</si>
  <si>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</si>
  <si>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</si>
  <si>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</si>
  <si>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</si>
  <si>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</si>
  <si>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</si>
  <si>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</si>
  <si>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</si>
  <si>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</si>
  <si>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</si>
  <si>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</si>
  <si>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</si>
  <si>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</si>
  <si>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</si>
  <si>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</si>
  <si>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</si>
  <si>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</si>
  <si>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</si>
  <si>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</si>
  <si>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</si>
  <si>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</si>
  <si>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</si>
  <si>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</si>
  <si>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</si>
  <si>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</si>
  <si>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</si>
  <si>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</si>
  <si>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</si>
  <si>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</si>
  <si>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</si>
  <si>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</si>
  <si>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</si>
  <si>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</si>
  <si>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</si>
  <si>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</si>
  <si>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</si>
  <si>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</si>
  <si>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</si>
  <si>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</si>
  <si>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</si>
  <si>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</si>
  <si>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</si>
  <si>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</si>
  <si>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</si>
  <si>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</si>
  <si>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</si>
  <si>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</si>
  <si>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</si>
  <si>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</si>
  <si>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</si>
  <si>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</si>
  <si>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</si>
  <si>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</si>
  <si>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</si>
  <si>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</si>
  <si>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</si>
  <si>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</si>
  <si>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</si>
  <si>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</si>
  <si>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</si>
  <si>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</si>
  <si>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</si>
  <si>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</si>
  <si>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</si>
  <si>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</si>
  <si>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</si>
  <si>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</si>
  <si>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</si>
  <si>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</si>
  <si>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</si>
  <si>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</si>
  <si>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</si>
  <si>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</si>
  <si>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</si>
  <si>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</si>
  <si>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</si>
  <si>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</si>
  <si>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</si>
  <si>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</si>
  <si>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</si>
  <si>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</si>
  <si>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</si>
  <si>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</si>
  <si>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</si>
  <si>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</si>
  <si>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</si>
  <si>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</si>
  <si>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</si>
  <si>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</si>
  <si>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</si>
  <si>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</si>
  <si>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</si>
  <si>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</si>
  <si>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</si>
  <si>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</si>
  <si>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</si>
  <si>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</si>
  <si>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</si>
  <si>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</si>
  <si>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</si>
  <si>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</si>
  <si>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</si>
  <si>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</si>
  <si>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</si>
  <si>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</si>
  <si>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</si>
  <si>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</si>
  <si>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</si>
  <si>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</si>
  <si>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</si>
  <si>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</si>
  <si>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</si>
  <si>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</si>
  <si>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</si>
  <si>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</si>
  <si>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</si>
  <si>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</si>
  <si>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</si>
  <si>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</si>
  <si>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</si>
  <si>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</si>
  <si>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</si>
  <si>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</si>
  <si>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</si>
  <si>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</si>
  <si>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</si>
  <si>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</si>
  <si>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</si>
  <si>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</si>
  <si>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</si>
  <si>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</si>
  <si>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</si>
  <si>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</si>
  <si>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</si>
  <si>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</si>
  <si>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</si>
  <si>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</si>
  <si>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</si>
  <si>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</si>
  <si>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</si>
  <si>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</si>
  <si>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</si>
  <si>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</si>
  <si>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</si>
  <si>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</si>
  <si>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</si>
  <si>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</si>
  <si>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</si>
  <si>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</si>
  <si>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</si>
  <si>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</si>
  <si>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</si>
  <si>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</si>
  <si>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</si>
  <si>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</si>
  <si>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</si>
  <si>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</si>
  <si>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</si>
  <si>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</si>
  <si>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</si>
  <si>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</si>
  <si>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</si>
  <si>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</si>
  <si>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</si>
  <si>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</si>
  <si>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</si>
  <si>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</si>
  <si>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</si>
  <si>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</si>
  <si>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</si>
  <si>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</si>
  <si>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</si>
  <si>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</si>
  <si>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</si>
  <si>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</si>
  <si>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</si>
  <si>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</si>
  <si>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</si>
  <si>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</si>
  <si>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</si>
  <si>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</si>
  <si>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</si>
  <si>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</si>
  <si>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</si>
  <si>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</si>
  <si>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</si>
  <si>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</si>
  <si>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</si>
  <si>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</si>
  <si>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</si>
  <si>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</si>
  <si>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</si>
  <si>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</si>
  <si>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</si>
  <si>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</si>
  <si>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</si>
  <si>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</si>
  <si>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</si>
  <si>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</si>
  <si>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</si>
  <si>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</si>
  <si>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</si>
  <si>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</si>
  <si>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</si>
  <si>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</si>
  <si>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</si>
  <si>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</si>
  <si>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</si>
  <si>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</si>
  <si>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</si>
  <si>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</si>
  <si>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</si>
  <si>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</si>
  <si>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</si>
  <si>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</si>
  <si>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</si>
  <si>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</si>
  <si>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</si>
  <si>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</si>
  <si>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</si>
  <si>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</si>
  <si>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</si>
  <si>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</si>
  <si>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</si>
  <si>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</si>
  <si>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</si>
  <si>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</si>
  <si>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</si>
  <si>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</si>
  <si>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</si>
  <si>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</si>
  <si>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</si>
  <si>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</si>
  <si>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</si>
  <si>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</si>
  <si>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</si>
  <si>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</si>
  <si>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</si>
  <si>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</si>
  <si>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</si>
  <si>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</si>
  <si>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</si>
  <si>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</si>
  <si>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</si>
  <si>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</si>
  <si>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</si>
  <si>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</si>
  <si>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</si>
  <si>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</si>
  <si>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</si>
  <si>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</si>
  <si>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</si>
  <si>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</si>
  <si>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</si>
  <si>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</si>
  <si>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</si>
  <si>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</si>
  <si>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</si>
  <si>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</si>
  <si>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</si>
  <si>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</si>
  <si>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</si>
  <si>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</si>
  <si>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</si>
  <si>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</si>
  <si>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</si>
  <si>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</si>
  <si>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</si>
  <si>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</si>
  <si>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</si>
  <si>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</si>
  <si>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</si>
  <si>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</si>
  <si>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</si>
  <si>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</si>
  <si>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</si>
  <si>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</si>
  <si>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</si>
  <si>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</si>
  <si>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</si>
  <si>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</si>
  <si>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</si>
  <si>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</si>
  <si>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</si>
  <si>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</si>
  <si>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</si>
  <si>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</si>
  <si>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</si>
  <si>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</si>
  <si>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</si>
  <si>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</si>
  <si>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</si>
  <si>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</si>
  <si>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</si>
  <si>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</si>
  <si>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</si>
  <si>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</si>
  <si>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</si>
  <si>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</si>
  <si>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</si>
  <si>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</si>
  <si>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</si>
  <si>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</si>
  <si>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</si>
  <si>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</si>
  <si>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</si>
  <si>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</si>
  <si>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</si>
  <si>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</si>
  <si>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</si>
  <si>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</si>
  <si>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</si>
  <si>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</si>
  <si>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</si>
  <si>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</si>
  <si>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</si>
  <si>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</si>
  <si>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</si>
  <si>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</si>
  <si>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</si>
  <si>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</si>
  <si>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</si>
  <si>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</si>
  <si>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</si>
  <si>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</si>
  <si>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</si>
  <si>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</si>
  <si>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</si>
  <si>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</si>
  <si>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</si>
  <si>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</si>
  <si>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</si>
  <si>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</si>
  <si>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</si>
  <si>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</si>
  <si>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</si>
  <si>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</si>
  <si>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</si>
  <si>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</si>
  <si>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</si>
  <si>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</si>
  <si>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</si>
  <si>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</si>
  <si>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</si>
  <si>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</si>
  <si>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</si>
  <si>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</si>
  <si>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</si>
  <si>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</si>
  <si>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</si>
  <si>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</si>
  <si>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</si>
  <si>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</si>
  <si>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</si>
  <si>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</si>
  <si>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</si>
  <si>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</si>
  <si>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</si>
  <si>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</si>
  <si>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</si>
  <si>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</si>
  <si>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</si>
  <si>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</si>
  <si>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</si>
  <si>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</si>
  <si>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</si>
  <si>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</si>
  <si>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</si>
  <si>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</si>
  <si>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</si>
  <si>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</si>
  <si>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</si>
  <si>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</si>
  <si>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</si>
  <si>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</si>
  <si>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</si>
  <si>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</si>
  <si>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</si>
  <si>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</si>
  <si>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</si>
  <si>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</si>
  <si>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</si>
  <si>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</si>
  <si>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</si>
  <si>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</si>
  <si>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</si>
  <si>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</si>
  <si>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</si>
  <si>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</si>
  <si>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</si>
  <si>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</si>
  <si>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</si>
  <si>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</si>
  <si>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</si>
  <si>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</si>
  <si>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</si>
  <si>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</si>
  <si>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</si>
  <si>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</si>
  <si>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</si>
  <si>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</si>
  <si>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</si>
  <si>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</si>
  <si>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</si>
  <si>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</si>
  <si>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</si>
  <si>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</si>
  <si>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</si>
  <si>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</si>
  <si>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</si>
  <si>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</si>
  <si>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</si>
  <si>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</si>
  <si>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</si>
  <si>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</si>
  <si>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</si>
  <si>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</si>
  <si>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</si>
  <si>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</si>
  <si>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</si>
  <si>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</si>
  <si>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</si>
  <si>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</si>
  <si>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</si>
  <si>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</si>
  <si>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</si>
  <si>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</si>
  <si>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</si>
  <si>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</si>
  <si>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</si>
  <si>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</si>
  <si>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</si>
  <si>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</si>
  <si>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</si>
  <si>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</si>
  <si>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</si>
  <si>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</si>
  <si>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</si>
  <si>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</si>
  <si>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</si>
  <si>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</si>
  <si>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</si>
  <si>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</si>
  <si>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</si>
  <si>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</si>
  <si>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</si>
  <si>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</si>
  <si>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</si>
  <si>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</si>
  <si>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</si>
  <si>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</si>
  <si>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</si>
  <si>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</si>
  <si>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</si>
  <si>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</si>
  <si>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</si>
  <si>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</si>
  <si>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</si>
  <si>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</si>
  <si>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</si>
  <si>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</si>
  <si>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</si>
  <si>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</si>
  <si>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</si>
  <si>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</si>
  <si>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</si>
  <si>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</si>
  <si>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</si>
  <si>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</si>
  <si>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</si>
  <si>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</si>
  <si>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</si>
  <si>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</si>
  <si>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</si>
  <si>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</si>
  <si>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</si>
  <si>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</si>
  <si>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</si>
  <si>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</si>
  <si>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</si>
  <si>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</si>
  <si>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</si>
  <si>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</si>
  <si>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</si>
  <si>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</si>
  <si>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</si>
  <si>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</si>
  <si>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</si>
  <si>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</si>
  <si>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</si>
  <si>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</si>
  <si>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</si>
  <si>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</si>
  <si>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</si>
  <si>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</si>
  <si>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</si>
  <si>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</si>
  <si>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</si>
  <si>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</si>
  <si>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</si>
  <si>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</si>
  <si>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</si>
  <si>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</si>
  <si>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</si>
  <si>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</si>
  <si>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</si>
  <si>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</si>
  <si>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</si>
  <si>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</si>
  <si>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</si>
  <si>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</si>
  <si>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</si>
  <si>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</si>
  <si>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</si>
  <si>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</si>
  <si>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</si>
  <si>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</si>
  <si>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</si>
  <si>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</si>
  <si>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</si>
  <si>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</si>
  <si>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</si>
  <si>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</si>
  <si>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</si>
  <si>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</si>
  <si>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</si>
  <si>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</si>
  <si>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</si>
  <si>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</si>
  <si>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</si>
  <si>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</si>
  <si>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</si>
  <si>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</si>
  <si>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</si>
  <si>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</si>
  <si>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</si>
  <si>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</si>
  <si>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</si>
  <si>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</si>
  <si>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</si>
  <si>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</si>
  <si>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</si>
  <si>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</si>
  <si>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</si>
  <si>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</si>
  <si>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</si>
  <si>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</si>
  <si>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</si>
  <si>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</si>
  <si>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</si>
  <si>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</si>
  <si>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</si>
  <si>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</si>
  <si>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</si>
  <si>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</si>
  <si>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</si>
  <si>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</si>
  <si>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</si>
  <si>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</si>
  <si>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</si>
  <si>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</si>
  <si>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</si>
  <si>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</si>
  <si>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</si>
  <si>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</si>
  <si>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</si>
  <si>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</si>
  <si>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</si>
  <si>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</si>
  <si>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</si>
  <si>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</si>
  <si>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</si>
  <si>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</si>
  <si>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</si>
  <si>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</si>
  <si>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</si>
  <si>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</si>
  <si>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</si>
  <si>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</si>
  <si>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</si>
  <si>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</si>
  <si>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</si>
  <si>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</si>
  <si>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</si>
  <si>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</si>
  <si>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</si>
  <si>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</si>
  <si>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</si>
  <si>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</si>
  <si>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</si>
  <si>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</si>
  <si>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</si>
  <si>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</si>
  <si>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</si>
  <si>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</si>
  <si>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</si>
  <si>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</si>
  <si>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</si>
  <si>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</si>
  <si>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</si>
  <si>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</si>
  <si>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</si>
  <si>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</si>
  <si>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</si>
  <si>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</si>
  <si>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</si>
  <si>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</si>
  <si>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</si>
  <si>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</si>
  <si>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</si>
  <si>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</si>
  <si>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</si>
  <si>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</si>
  <si>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</si>
  <si>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</si>
  <si>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</si>
  <si>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</si>
  <si>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</si>
  <si>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</si>
  <si>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</si>
  <si>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</si>
  <si>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</si>
  <si>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</si>
  <si>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</si>
  <si>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</si>
  <si>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</si>
  <si>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</si>
  <si>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</si>
  <si>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</si>
  <si>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</si>
  <si>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</si>
  <si>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</si>
  <si>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</si>
  <si>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</si>
  <si>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</si>
  <si>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</si>
  <si>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</si>
  <si>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</si>
  <si>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</si>
  <si>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</si>
  <si>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</si>
  <si>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</si>
  <si>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</si>
  <si>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</si>
  <si>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</si>
  <si>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</si>
  <si>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</si>
  <si>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</si>
  <si>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</si>
  <si>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</si>
  <si>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</si>
  <si>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</si>
  <si>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</si>
  <si>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</si>
  <si>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</si>
  <si>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</si>
  <si>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</si>
  <si>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</si>
  <si>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</si>
  <si>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</si>
  <si>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</si>
  <si>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</si>
  <si>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</si>
  <si>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</si>
  <si>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</si>
  <si>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</si>
  <si>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</si>
  <si>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</si>
  <si>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</si>
  <si>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</si>
  <si>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</si>
  <si>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</si>
  <si>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</si>
  <si>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</si>
  <si>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</si>
  <si>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</si>
  <si>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</si>
  <si>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</si>
  <si>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</si>
  <si>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</si>
  <si>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</si>
  <si>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</si>
  <si>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</si>
  <si>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</si>
  <si>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</si>
  <si>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</si>
  <si>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</si>
  <si>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</si>
  <si>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</si>
  <si>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</si>
  <si>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</si>
  <si>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</si>
  <si>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</si>
  <si>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</si>
  <si>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</si>
  <si>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</si>
  <si>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</si>
  <si>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</si>
  <si>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</si>
  <si>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</si>
  <si>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</si>
  <si>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</si>
  <si>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</si>
  <si>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</si>
  <si>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</si>
  <si>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</si>
  <si>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</si>
  <si>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</si>
  <si>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</si>
  <si>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</si>
  <si>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</si>
  <si>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</si>
  <si>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</si>
  <si>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</si>
  <si>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</si>
  <si>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</si>
  <si>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</si>
  <si>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</si>
  <si>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</si>
  <si>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</si>
  <si>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</si>
  <si>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</si>
  <si>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</si>
  <si>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</si>
  <si>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</si>
  <si>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</si>
  <si>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</si>
  <si>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</si>
  <si>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</si>
  <si>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</si>
  <si>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</si>
  <si>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</si>
  <si>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</si>
  <si>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</si>
  <si>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</si>
  <si>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</si>
  <si>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</si>
  <si>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</si>
  <si>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</si>
  <si>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</si>
  <si>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</si>
  <si>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</si>
  <si>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</si>
  <si>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</si>
  <si>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</si>
  <si>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</si>
  <si>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</si>
  <si>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</si>
  <si>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</si>
  <si>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</si>
  <si>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</si>
  <si>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</si>
  <si>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</si>
  <si>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</si>
  <si>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</si>
  <si>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</si>
  <si>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</si>
  <si>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</si>
  <si>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</si>
  <si>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</si>
  <si>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</si>
  <si>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</si>
  <si>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</si>
  <si>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</si>
  <si>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</si>
  <si>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</si>
  <si>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</si>
  <si>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</si>
  <si>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</si>
  <si>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</si>
  <si>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</si>
  <si>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</si>
  <si>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</si>
  <si>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</si>
  <si>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</si>
  <si>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</si>
  <si>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</si>
  <si>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</si>
  <si>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</si>
  <si>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</si>
  <si>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</si>
  <si>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</si>
  <si>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</si>
  <si>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</si>
  <si>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</si>
  <si>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</si>
  <si>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</si>
  <si>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</si>
  <si>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</si>
  <si>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</si>
  <si>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</si>
  <si>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</si>
  <si>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</si>
  <si>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</si>
  <si>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</si>
  <si>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</si>
  <si>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</si>
  <si>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</si>
  <si>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</si>
  <si>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</si>
  <si>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</si>
  <si>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</si>
  <si>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</si>
  <si>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</si>
  <si>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</si>
  <si>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</si>
  <si>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</si>
  <si>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</si>
  <si>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</si>
  <si>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</si>
  <si>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</si>
  <si>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</si>
  <si>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</si>
  <si>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</si>
  <si>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</si>
  <si>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</si>
  <si>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</si>
  <si>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</si>
  <si>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</si>
  <si>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</si>
  <si>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</si>
  <si>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</si>
  <si>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</si>
  <si>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</si>
  <si>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</si>
  <si>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</si>
  <si>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</si>
  <si>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</si>
  <si>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</si>
  <si>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</si>
  <si>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</si>
  <si>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</si>
  <si>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</si>
  <si>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</si>
  <si>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</si>
  <si>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</si>
  <si>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</si>
  <si>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</si>
  <si>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</si>
  <si>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</si>
  <si>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</si>
  <si>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</si>
  <si>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</si>
  <si>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</si>
  <si>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</si>
  <si>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</si>
  <si>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</si>
  <si>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</si>
  <si>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</si>
  <si>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</si>
  <si>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</si>
  <si>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</si>
  <si>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</si>
  <si>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</si>
  <si>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</si>
  <si>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</si>
  <si>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</si>
  <si>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</si>
  <si>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</si>
  <si>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</si>
  <si>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</si>
  <si>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</si>
  <si>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</si>
  <si>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</si>
  <si>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</si>
  <si>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</si>
  <si>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</si>
  <si>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</si>
  <si>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</si>
  <si>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</si>
  <si>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</si>
  <si>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</si>
  <si>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</si>
  <si>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</si>
  <si>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</si>
  <si>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</si>
  <si>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</si>
  <si>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</si>
  <si>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</si>
  <si>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</si>
  <si>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</si>
  <si>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</si>
  <si>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</si>
  <si>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</si>
  <si>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</si>
  <si>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</si>
  <si>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</si>
  <si>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</si>
  <si>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</si>
  <si>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</si>
  <si>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</si>
  <si>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</si>
  <si>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</si>
  <si>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</si>
  <si>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</si>
  <si>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</si>
  <si>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</si>
  <si>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</si>
  <si>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</si>
  <si>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</si>
  <si>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</si>
  <si>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</si>
  <si>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</si>
  <si>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</si>
  <si>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</si>
  <si>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</si>
  <si>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</si>
  <si>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</si>
  <si>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</si>
  <si>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</si>
  <si>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</si>
  <si>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</si>
  <si>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</si>
  <si>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</si>
  <si>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</si>
  <si>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</si>
  <si>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</si>
  <si>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</si>
  <si>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</si>
  <si>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</si>
  <si>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</si>
  <si>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</si>
  <si>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</si>
  <si>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</si>
  <si>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</si>
  <si>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</si>
  <si>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</si>
  <si>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</si>
  <si>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</si>
  <si>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</si>
  <si>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</si>
  <si>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</si>
  <si>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</si>
  <si>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</si>
  <si>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</si>
  <si>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</si>
  <si>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</si>
  <si>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</si>
  <si>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</si>
  <si>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</si>
  <si>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</si>
  <si>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</si>
  <si>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</si>
  <si>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</si>
  <si>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</si>
  <si>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</si>
  <si>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</si>
  <si>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</si>
  <si>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</si>
  <si>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</si>
  <si>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</si>
  <si>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</si>
  <si>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</si>
  <si>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</si>
  <si>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</si>
  <si>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</si>
  <si>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</si>
  <si>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</si>
  <si>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</si>
  <si>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</si>
  <si>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</si>
  <si>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</si>
  <si>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</si>
  <si>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</si>
  <si>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</si>
  <si>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</si>
  <si>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</si>
  <si>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</si>
  <si>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</si>
  <si>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</si>
  <si>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</si>
  <si>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</si>
  <si>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</si>
  <si>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</si>
  <si>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</si>
  <si>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</si>
  <si>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</si>
  <si>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</si>
  <si>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</si>
  <si>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</si>
  <si>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</si>
  <si>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</si>
  <si>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</si>
  <si>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</si>
  <si>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</si>
  <si>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</si>
  <si>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</si>
  <si>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</si>
  <si>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</si>
  <si>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</si>
  <si>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</si>
  <si>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</si>
  <si>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</si>
  <si>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</si>
  <si>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</si>
  <si>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</si>
  <si>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</si>
  <si>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</si>
  <si>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</si>
  <si>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</si>
  <si>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</si>
  <si>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</si>
  <si>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</si>
  <si>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</si>
  <si>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</si>
  <si>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</si>
  <si>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</si>
  <si>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</si>
  <si>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</si>
  <si>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</si>
  <si>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</si>
  <si>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</si>
  <si>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</si>
  <si>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</si>
  <si>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</si>
  <si>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</si>
  <si>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</si>
  <si>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</si>
  <si>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</si>
  <si>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</si>
  <si>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</si>
  <si>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</si>
  <si>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</si>
  <si>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</si>
  <si>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</si>
  <si>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</si>
  <si>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</si>
  <si>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</si>
  <si>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</si>
  <si>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</si>
  <si>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</si>
  <si>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</si>
  <si>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</si>
  <si>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</si>
  <si>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</si>
  <si>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</si>
  <si>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</si>
  <si>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</si>
  <si>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</si>
  <si>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</si>
  <si>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</si>
  <si>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</si>
  <si>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</si>
  <si>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</si>
  <si>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</si>
  <si>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</si>
  <si>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</si>
  <si>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</si>
  <si>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</si>
  <si>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</si>
  <si>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</si>
  <si>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</si>
  <si>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</si>
  <si>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</si>
  <si>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</si>
  <si>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</si>
  <si>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</si>
  <si>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</si>
  <si>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</si>
  <si>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</si>
  <si>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</si>
  <si>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</si>
  <si>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</si>
  <si>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</si>
  <si>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</si>
  <si>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</si>
  <si>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</si>
  <si>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</si>
  <si>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</si>
  <si>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</si>
  <si>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</si>
  <si>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</si>
  <si>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</si>
  <si>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</si>
  <si>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</si>
  <si>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</si>
  <si>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</si>
  <si>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</si>
  <si>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</si>
  <si>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</si>
  <si>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</si>
  <si>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</si>
  <si>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</si>
  <si>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</si>
  <si>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</si>
  <si>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</si>
  <si>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</si>
  <si>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</si>
  <si>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</si>
  <si>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</si>
  <si>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</si>
  <si>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</si>
  <si>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</si>
  <si>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</si>
  <si>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</si>
  <si>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</si>
  <si>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</si>
  <si>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</si>
  <si>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</si>
  <si>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</si>
  <si>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</si>
  <si>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</si>
  <si>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</si>
  <si>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</si>
  <si>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</si>
  <si>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</si>
  <si>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</si>
  <si>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</si>
  <si>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</si>
  <si>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</si>
  <si>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</si>
  <si>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</si>
  <si>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</si>
  <si>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</si>
  <si>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</si>
  <si>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</si>
  <si>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</si>
  <si>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</si>
  <si>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</si>
  <si>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</si>
  <si>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</si>
  <si>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</si>
  <si>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</si>
  <si>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</si>
  <si>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</si>
  <si>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</si>
  <si>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</si>
  <si>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</si>
  <si>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</si>
  <si>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</si>
  <si>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</si>
  <si>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</si>
  <si>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</si>
  <si>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</si>
  <si>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</si>
  <si>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</si>
  <si>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</si>
  <si>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</si>
  <si>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</si>
  <si>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</si>
  <si>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</si>
  <si>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</si>
  <si>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</si>
  <si>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</si>
  <si>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</si>
  <si>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</si>
  <si>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</si>
  <si>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</si>
  <si>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</si>
  <si>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</si>
  <si>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</si>
  <si>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</si>
  <si>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</si>
  <si>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</si>
  <si>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</si>
  <si>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</si>
  <si>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</si>
  <si>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</si>
  <si>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</si>
  <si>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</si>
  <si>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</si>
  <si>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</si>
  <si>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</si>
  <si>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</si>
  <si>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</si>
  <si>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</si>
  <si>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</si>
  <si>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</si>
  <si>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</si>
  <si>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</si>
  <si>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</si>
  <si>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</si>
  <si>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</si>
  <si>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</si>
  <si>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</si>
  <si>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</si>
  <si>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</si>
  <si>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</si>
  <si>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</si>
  <si>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</si>
  <si>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</si>
  <si>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</si>
  <si>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</si>
  <si>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</si>
  <si>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</si>
  <si>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</si>
  <si>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</si>
  <si>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</si>
  <si>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</si>
  <si>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</si>
  <si>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</si>
  <si>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</si>
  <si>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</si>
  <si>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</si>
  <si>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</si>
  <si>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</si>
  <si>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</si>
  <si>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</si>
  <si>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</si>
  <si>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</si>
  <si>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</si>
  <si>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</si>
  <si>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</si>
  <si>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</si>
  <si>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</si>
  <si>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</si>
  <si>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</si>
  <si>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</si>
  <si>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</si>
  <si>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</si>
  <si>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</si>
  <si>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</si>
  <si>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</si>
  <si>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</si>
  <si>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</si>
  <si>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</si>
  <si>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</si>
  <si>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</si>
  <si>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</si>
  <si>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</si>
  <si>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</si>
  <si>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</si>
  <si>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</si>
  <si>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</si>
  <si>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</si>
  <si>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</si>
  <si>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</si>
  <si>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</si>
  <si>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</si>
  <si>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</si>
  <si>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</si>
  <si>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</si>
  <si>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</si>
  <si>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</si>
  <si>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</si>
  <si>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</si>
  <si>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</si>
  <si>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</si>
  <si>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</si>
  <si>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</si>
  <si>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</si>
  <si>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</si>
  <si>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</si>
  <si>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</si>
  <si>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</si>
  <si>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</si>
  <si>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</si>
  <si>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</si>
  <si>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</si>
  <si>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</si>
  <si>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</si>
  <si>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</si>
  <si>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</si>
  <si>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</si>
  <si>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</si>
  <si>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</si>
  <si>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</si>
  <si>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</si>
  <si>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</si>
  <si>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</si>
  <si>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</si>
  <si>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</si>
  <si>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</si>
  <si>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</si>
  <si>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</si>
  <si>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</si>
  <si>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</si>
  <si>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</si>
  <si>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</si>
  <si>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</si>
  <si>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</si>
  <si>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</si>
  <si>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</si>
  <si>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</si>
  <si>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</si>
  <si>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</si>
  <si>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</si>
  <si>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</si>
  <si>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</si>
  <si>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</si>
  <si>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</si>
  <si>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</si>
  <si>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</si>
  <si>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</si>
  <si>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</si>
  <si>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</si>
  <si>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</si>
  <si>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</si>
  <si>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</si>
  <si>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</si>
  <si>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</si>
  <si>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</si>
  <si>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</si>
  <si>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</si>
  <si>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</si>
  <si>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</si>
  <si>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</si>
  <si>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</si>
  <si>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</si>
  <si>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</si>
  <si>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</si>
  <si>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</si>
  <si>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</si>
  <si>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</si>
  <si>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</si>
  <si>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</si>
  <si>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</si>
  <si>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</si>
  <si>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</si>
  <si>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</si>
  <si>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</si>
  <si>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</si>
  <si>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</si>
  <si>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</si>
  <si>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</si>
  <si>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</si>
  <si>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</si>
  <si>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</si>
  <si>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</si>
  <si>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</si>
  <si>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</si>
  <si>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</si>
  <si>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</si>
  <si>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</si>
  <si>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</si>
  <si>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</si>
  <si>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</si>
  <si>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</si>
  <si>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</si>
  <si>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</si>
  <si>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</si>
  <si>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</si>
  <si>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</si>
  <si>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</si>
  <si>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</si>
  <si>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</si>
  <si>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</si>
  <si>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</si>
  <si>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</si>
  <si>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</si>
  <si>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</si>
  <si>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</si>
  <si>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</si>
  <si>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</si>
  <si>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</si>
  <si>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</si>
  <si>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</si>
  <si>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</si>
  <si>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</si>
  <si>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</si>
  <si>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</si>
  <si>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</si>
  <si>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</si>
  <si>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</si>
  <si>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</si>
  <si>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</si>
  <si>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</si>
  <si>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</si>
  <si>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</si>
  <si>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</si>
  <si>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</si>
  <si>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</si>
  <si>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</si>
  <si>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</si>
  <si>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</si>
  <si>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</si>
  <si>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</si>
  <si>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</si>
  <si>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</si>
  <si>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</si>
  <si>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</si>
  <si>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</si>
  <si>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</si>
  <si>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</si>
  <si>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</si>
  <si>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</si>
  <si>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</si>
  <si>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</si>
  <si>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</si>
  <si>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</si>
  <si>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</si>
  <si>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</si>
  <si>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</si>
  <si>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</si>
  <si>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</si>
  <si>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</si>
  <si>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</si>
  <si>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</si>
  <si>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</si>
  <si>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</si>
  <si>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</si>
  <si>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</si>
  <si>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</si>
  <si>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</si>
  <si>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</si>
  <si>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</si>
  <si>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</si>
  <si>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</si>
  <si>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</si>
  <si>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</si>
  <si>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</si>
  <si>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</si>
  <si>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</si>
  <si>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</si>
  <si>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</si>
  <si>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</si>
  <si>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</si>
  <si>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</si>
  <si>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</si>
  <si>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</si>
  <si>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</si>
  <si>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</si>
  <si>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</si>
  <si>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</si>
  <si>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</si>
  <si>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</si>
  <si>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</si>
  <si>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</si>
  <si>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</si>
  <si>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</si>
  <si>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</si>
  <si>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</si>
  <si>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</si>
  <si>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</si>
  <si>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</si>
  <si>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</si>
  <si>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</si>
  <si>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</si>
  <si>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</si>
  <si>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</si>
  <si>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</si>
  <si>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</si>
  <si>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</si>
  <si>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</si>
  <si>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</si>
  <si>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</si>
  <si>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</si>
  <si>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</si>
  <si>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</si>
  <si>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</si>
  <si>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</si>
  <si>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</si>
  <si>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</si>
  <si>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</si>
  <si>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</si>
  <si>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</si>
  <si>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</si>
  <si>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</si>
  <si>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</si>
  <si>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</si>
  <si>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</si>
  <si>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</si>
  <si>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</si>
  <si>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</si>
  <si>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</si>
  <si>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</si>
  <si>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</si>
  <si>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</si>
  <si>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</si>
  <si>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</si>
  <si>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</si>
  <si>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</si>
  <si>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</si>
  <si>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</si>
  <si>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</si>
  <si>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</si>
  <si>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</si>
  <si>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</si>
  <si>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</si>
  <si>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</si>
  <si>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</si>
  <si>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</si>
  <si>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</si>
  <si>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</si>
  <si>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</si>
  <si>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</si>
  <si>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</si>
  <si>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</si>
  <si>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</si>
  <si>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</si>
  <si>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</si>
  <si>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</si>
  <si>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</si>
  <si>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</si>
  <si>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</si>
  <si>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</si>
  <si>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</si>
  <si>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</si>
  <si>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</si>
  <si>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</si>
  <si>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</si>
  <si>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</si>
  <si>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</si>
  <si>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</si>
  <si>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</si>
  <si>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</si>
  <si>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</si>
  <si>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</si>
  <si>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</si>
  <si>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</si>
  <si>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</si>
  <si>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</si>
  <si>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</si>
  <si>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</si>
  <si>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</si>
  <si>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</si>
  <si>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</si>
  <si>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</si>
  <si>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</si>
  <si>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</si>
  <si>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</si>
  <si>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</si>
  <si>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</si>
  <si>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</si>
  <si>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</si>
  <si>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</si>
  <si>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</si>
  <si>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</si>
  <si>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</si>
  <si>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</si>
  <si>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</si>
  <si>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</si>
  <si>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</si>
  <si>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</si>
  <si>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</si>
  <si>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</si>
  <si>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</si>
  <si>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</si>
  <si>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</si>
  <si>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</si>
  <si>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</si>
  <si>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</si>
  <si>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</si>
  <si>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</si>
  <si>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</si>
  <si>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</si>
  <si>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</si>
  <si>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</si>
  <si>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</si>
  <si>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</si>
  <si>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</si>
  <si>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</si>
  <si>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</si>
  <si>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</si>
  <si>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</si>
  <si>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</si>
  <si>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</si>
  <si>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</si>
  <si>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</si>
  <si>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</si>
  <si>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</si>
  <si>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</si>
  <si>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</si>
  <si>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</si>
  <si>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</si>
  <si>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</si>
  <si>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</si>
  <si>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</si>
  <si>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</si>
  <si>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</si>
  <si>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</si>
  <si>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</si>
  <si>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</si>
  <si>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</si>
  <si>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</si>
  <si>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</si>
  <si>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</si>
  <si>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</si>
  <si>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</si>
  <si>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</si>
  <si>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</si>
  <si>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</si>
  <si>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</si>
  <si>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</si>
  <si>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</si>
  <si>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</si>
  <si>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</si>
  <si>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</si>
  <si>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</si>
  <si>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</si>
  <si>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</si>
  <si>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</si>
  <si>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</si>
  <si>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</si>
  <si>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</si>
  <si>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</si>
  <si>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</si>
  <si>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</si>
  <si>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</si>
  <si>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</si>
  <si>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</si>
  <si>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</si>
  <si>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</si>
  <si>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</si>
  <si>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</si>
  <si>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</si>
  <si>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</si>
  <si>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</si>
  <si>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</si>
  <si>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</si>
  <si>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</si>
  <si>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</si>
  <si>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</si>
  <si>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</si>
  <si>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</si>
  <si>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</si>
  <si>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</si>
  <si>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</si>
  <si>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</si>
  <si>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</si>
  <si>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</si>
  <si>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</si>
  <si>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</si>
  <si>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</si>
  <si>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</si>
  <si>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</si>
  <si>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</si>
  <si>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</si>
  <si>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</si>
  <si>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</si>
  <si>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</si>
  <si>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</si>
  <si>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</si>
  <si>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</si>
  <si>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</si>
  <si>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</si>
  <si>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</si>
  <si>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</si>
  <si>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</si>
  <si>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</si>
  <si>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</si>
  <si>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</si>
  <si>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</si>
  <si>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</si>
  <si>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</si>
  <si>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</si>
  <si>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</si>
  <si>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</si>
  <si>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</si>
  <si>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</si>
  <si>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</si>
  <si>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</si>
  <si>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</si>
  <si>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</si>
  <si>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</si>
  <si>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</si>
  <si>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</si>
  <si>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</si>
  <si>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</si>
  <si>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</si>
  <si>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</si>
  <si>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</si>
  <si>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</si>
  <si>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</si>
  <si>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</si>
  <si>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</si>
  <si>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</si>
  <si>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</si>
  <si>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</si>
  <si>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</si>
  <si>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</si>
  <si>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</si>
  <si>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</si>
  <si>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</si>
  <si>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</si>
  <si>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</si>
  <si>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</si>
  <si>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</si>
  <si>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</si>
  <si>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</si>
  <si>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</si>
  <si>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</si>
  <si>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</si>
  <si>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</si>
  <si>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</si>
  <si>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</si>
  <si>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</si>
  <si>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</si>
  <si>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</si>
  <si>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</si>
  <si>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</si>
  <si>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</si>
  <si>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</si>
  <si>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</si>
  <si>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</si>
  <si>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</si>
  <si>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</si>
  <si>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</si>
  <si>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</si>
  <si>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</si>
  <si>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</si>
  <si>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</si>
  <si>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</si>
  <si>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</si>
  <si>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</si>
  <si>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</si>
  <si>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</si>
  <si>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</si>
  <si>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</si>
  <si>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</si>
  <si>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</si>
  <si>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</si>
  <si>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</si>
  <si>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</si>
  <si>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</si>
  <si>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</si>
  <si>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</si>
  <si>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</si>
  <si>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</si>
  <si>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</si>
  <si>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</si>
  <si>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</si>
  <si>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</si>
  <si>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</si>
  <si>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</si>
  <si>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</si>
  <si>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</si>
  <si>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</si>
  <si>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</si>
  <si>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</si>
  <si>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</si>
  <si>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</si>
  <si>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</si>
  <si>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</si>
  <si>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</si>
  <si>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</si>
  <si>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</si>
  <si>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</si>
  <si>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</si>
  <si>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</si>
  <si>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</si>
  <si>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</si>
  <si>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</si>
  <si>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</si>
  <si>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</si>
  <si>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</si>
  <si>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</si>
  <si>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</si>
  <si>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</si>
  <si>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</si>
  <si>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</si>
  <si>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</si>
  <si>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</si>
  <si>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</si>
  <si>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</si>
  <si>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</si>
  <si>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</si>
  <si>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</si>
  <si>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</si>
  <si>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</si>
  <si>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</si>
  <si>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</si>
  <si>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</si>
  <si>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</si>
  <si>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</si>
  <si>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</si>
  <si>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</si>
  <si>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</si>
  <si>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</si>
  <si>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</si>
  <si>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</si>
  <si>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</si>
  <si>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</si>
  <si>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</si>
  <si>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</si>
  <si>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</si>
  <si>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</si>
  <si>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</si>
  <si>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</si>
  <si>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</si>
  <si>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</si>
  <si>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</si>
  <si>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</si>
  <si>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</si>
  <si>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</si>
  <si>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</si>
  <si>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</si>
  <si>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</si>
  <si>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</si>
  <si>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</si>
  <si>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</si>
  <si>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</si>
  <si>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</si>
  <si>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</si>
  <si>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</si>
  <si>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</si>
  <si>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</si>
  <si>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</si>
  <si>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</si>
  <si>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</si>
  <si>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</si>
  <si>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</si>
  <si>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</si>
  <si>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</si>
  <si>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</si>
  <si>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</si>
  <si>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</si>
  <si>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</si>
  <si>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</si>
  <si>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</si>
  <si>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</si>
  <si>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</si>
  <si>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</si>
  <si>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</si>
  <si>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</si>
  <si>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</si>
  <si>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</si>
  <si>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</si>
  <si>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</si>
  <si>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</si>
  <si>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</si>
  <si>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</si>
  <si>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</si>
  <si>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</si>
  <si>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</si>
  <si>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</si>
  <si>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</si>
  <si>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</si>
  <si>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</si>
  <si>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</si>
  <si>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</si>
  <si>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</si>
  <si>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</si>
  <si>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</si>
  <si>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</si>
  <si>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</si>
  <si>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</si>
  <si>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</si>
  <si>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</si>
  <si>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</si>
  <si>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</si>
  <si>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</si>
  <si>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</si>
  <si>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</si>
  <si>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</si>
  <si>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</si>
  <si>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</si>
  <si>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</si>
  <si>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</si>
  <si>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</si>
  <si>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</si>
  <si>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</si>
  <si>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</si>
  <si>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</si>
  <si>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</si>
  <si>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</si>
  <si>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</si>
  <si>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</si>
  <si>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</si>
  <si>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</si>
  <si>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</si>
  <si>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</si>
  <si>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</si>
  <si>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</si>
  <si>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</si>
  <si>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</si>
  <si>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</si>
  <si>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</si>
  <si>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</si>
  <si>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</si>
  <si>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</si>
  <si>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</si>
  <si>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</si>
  <si>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</si>
  <si>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</si>
  <si>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</si>
  <si>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</si>
  <si>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</si>
  <si>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</si>
  <si>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</si>
  <si>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</si>
  <si>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</si>
  <si>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</si>
  <si>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</si>
  <si>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</si>
  <si>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</si>
  <si>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</si>
  <si>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</si>
  <si>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</si>
  <si>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</si>
  <si>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</si>
  <si>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</si>
  <si>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</si>
  <si>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</si>
  <si>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</si>
  <si>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</si>
  <si>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</si>
  <si>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</si>
  <si>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</si>
  <si>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</si>
  <si>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</si>
  <si>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</si>
  <si>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</si>
  <si>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</si>
  <si>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</si>
  <si>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</si>
  <si>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</si>
  <si>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</si>
  <si>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</si>
  <si>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</si>
  <si>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</si>
  <si>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</si>
  <si>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</si>
  <si>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</si>
  <si>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</si>
  <si>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</si>
  <si>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</si>
  <si>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</si>
  <si>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</si>
  <si>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</si>
  <si>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</si>
  <si>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</si>
  <si>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</si>
  <si>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</si>
  <si>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</si>
  <si>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</si>
  <si>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</si>
  <si>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</si>
  <si>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</si>
  <si>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</si>
  <si>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</si>
  <si>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</si>
  <si>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</si>
  <si>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</si>
  <si>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</si>
  <si>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</si>
  <si>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</si>
  <si>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</si>
  <si>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</si>
  <si>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</si>
  <si>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</si>
  <si>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</si>
  <si>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</si>
  <si>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</si>
  <si>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</si>
  <si>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</si>
  <si>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</si>
  <si>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</si>
  <si>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</si>
  <si>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</si>
  <si>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</si>
  <si>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</si>
  <si>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</si>
  <si>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</si>
  <si>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</si>
  <si>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</si>
  <si>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</si>
  <si>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</si>
  <si>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</si>
  <si>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</si>
  <si>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</si>
  <si>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</si>
  <si>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</si>
  <si>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</si>
  <si>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</si>
  <si>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</si>
  <si>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</si>
  <si>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</si>
  <si>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</si>
  <si>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</si>
  <si>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</si>
  <si>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</si>
  <si>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</si>
  <si>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</si>
  <si>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</si>
  <si>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</si>
  <si>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</si>
  <si>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</si>
  <si>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</si>
  <si>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</si>
  <si>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</si>
  <si>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</si>
  <si>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</si>
  <si>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</si>
  <si>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</si>
  <si>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</si>
  <si>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</si>
  <si>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</si>
  <si>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</si>
  <si>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</si>
  <si>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</si>
  <si>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</si>
  <si>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</si>
  <si>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</si>
  <si>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</si>
  <si>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</si>
  <si>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</si>
  <si>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</si>
  <si>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</si>
  <si>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</si>
  <si>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</si>
  <si>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</si>
  <si>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</si>
  <si>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</si>
  <si>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</si>
  <si>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</si>
  <si>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</si>
  <si>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</si>
  <si>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</si>
  <si>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</si>
  <si>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</si>
  <si>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</si>
  <si>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</si>
  <si>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</si>
  <si>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</si>
  <si>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</si>
  <si>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</si>
  <si>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</si>
  <si>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</si>
  <si>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</si>
  <si>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</si>
  <si>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</si>
  <si>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</si>
  <si>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</si>
  <si>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</si>
  <si>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</si>
  <si>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</si>
  <si>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</si>
  <si>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</si>
  <si>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</si>
  <si>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</si>
  <si>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</si>
  <si>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</si>
  <si>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</si>
  <si>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</si>
  <si>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</si>
  <si>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</si>
  <si>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</si>
  <si>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</si>
  <si>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</si>
  <si>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</si>
  <si>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</si>
  <si>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</si>
  <si>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</si>
  <si>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</si>
  <si>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</si>
  <si>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</si>
  <si>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</si>
  <si>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</si>
  <si>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</si>
  <si>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</si>
  <si>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</si>
  <si>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</si>
  <si>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</si>
  <si>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</si>
  <si>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</si>
  <si>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</si>
  <si>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</si>
  <si>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</si>
  <si>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</si>
  <si>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</si>
  <si>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</si>
  <si>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</si>
  <si>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</si>
  <si>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</si>
  <si>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</si>
  <si>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</si>
  <si>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</si>
  <si>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</si>
  <si>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</si>
  <si>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</si>
  <si>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</si>
  <si>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</si>
  <si>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</si>
  <si>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</si>
  <si>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</si>
  <si>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</si>
  <si>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</si>
  <si>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</si>
  <si>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</si>
  <si>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</si>
  <si>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</si>
  <si>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</si>
  <si>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</si>
  <si>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</si>
  <si>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</si>
  <si>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</si>
  <si>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</si>
  <si>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</si>
  <si>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</si>
  <si>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</si>
  <si>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</si>
  <si>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</si>
  <si>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</si>
  <si>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</si>
  <si>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</si>
  <si>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</si>
  <si>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</si>
  <si>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</si>
  <si>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</si>
  <si>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</si>
  <si>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</si>
  <si>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</si>
  <si>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</si>
  <si>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</si>
  <si>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</si>
  <si>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</si>
  <si>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</si>
  <si>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</si>
  <si>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</si>
  <si>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</si>
  <si>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</si>
  <si>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</si>
  <si>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</si>
  <si>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</si>
  <si>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</si>
  <si>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</si>
  <si>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</si>
  <si>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</si>
  <si>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</si>
  <si>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</si>
  <si>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</si>
  <si>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</si>
  <si>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</si>
  <si>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</si>
  <si>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</si>
  <si>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</si>
  <si>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</si>
  <si>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</si>
  <si>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</si>
  <si>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</si>
  <si>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</si>
  <si>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</si>
  <si>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</si>
  <si>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</si>
  <si>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</si>
  <si>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</si>
  <si>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</si>
  <si>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</si>
  <si>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</si>
  <si>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</si>
  <si>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</si>
  <si>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</si>
  <si>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</si>
  <si>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</si>
  <si>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</si>
  <si>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</si>
  <si>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</si>
  <si>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</si>
  <si>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</si>
  <si>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</si>
  <si>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</si>
  <si>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</si>
  <si>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</si>
  <si>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</si>
  <si>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</si>
  <si>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</si>
  <si>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</si>
  <si>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</si>
  <si>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</si>
  <si>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</si>
  <si>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</si>
  <si>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</si>
  <si>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</si>
  <si>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</si>
  <si>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</si>
  <si>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</si>
  <si>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</si>
  <si>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</si>
  <si>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</si>
  <si>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</si>
  <si>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</si>
  <si>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</si>
  <si>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</si>
  <si>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</si>
  <si>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</si>
  <si>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</si>
  <si>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</si>
  <si>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</si>
  <si>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</si>
  <si>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</si>
  <si>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</si>
  <si>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</si>
  <si>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</si>
  <si>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</si>
  <si>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</si>
  <si>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</si>
  <si>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</si>
  <si>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</si>
  <si>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</si>
  <si>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</si>
  <si>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</si>
  <si>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</si>
  <si>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</si>
  <si>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</si>
  <si>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</si>
  <si>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</si>
  <si>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</si>
  <si>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</si>
  <si>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</si>
  <si>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</si>
  <si>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</si>
  <si>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</si>
  <si>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</si>
  <si>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</si>
  <si>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</si>
  <si>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</si>
  <si>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</si>
  <si>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</si>
  <si>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</si>
  <si>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</si>
  <si>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</si>
  <si>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</si>
  <si>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</si>
  <si>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</si>
  <si>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</si>
  <si>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</si>
  <si>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</si>
  <si>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</si>
  <si>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</si>
  <si>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</si>
  <si>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</si>
  <si>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</si>
  <si>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</si>
  <si>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</si>
  <si>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</si>
  <si>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</si>
  <si>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</si>
  <si>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</si>
  <si>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</si>
  <si>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</si>
  <si>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</si>
  <si>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</si>
  <si>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</si>
  <si>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</si>
  <si>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</si>
  <si>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</si>
  <si>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</si>
  <si>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</si>
  <si>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</si>
  <si>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</si>
  <si>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</si>
  <si>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</si>
  <si>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</si>
  <si>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</si>
  <si>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</si>
  <si>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</si>
  <si>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</si>
  <si>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</si>
  <si>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</si>
  <si>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</si>
  <si>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</si>
  <si>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</si>
  <si>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</si>
  <si>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</si>
  <si>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</si>
  <si>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</si>
  <si>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</si>
  <si>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</si>
  <si>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</si>
  <si>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</si>
  <si>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</si>
  <si>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</si>
  <si>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</si>
  <si>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</si>
  <si>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</si>
  <si>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</si>
  <si>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</si>
  <si>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</si>
  <si>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</si>
  <si>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</si>
  <si>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</si>
  <si>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</si>
  <si>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</si>
  <si>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</si>
  <si>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</si>
  <si>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</si>
  <si>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</si>
  <si>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</si>
  <si>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</si>
  <si>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</si>
  <si>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</si>
  <si>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</si>
  <si>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</si>
  <si>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</si>
  <si>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</si>
  <si>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</si>
  <si>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</si>
  <si>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</si>
  <si>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</si>
  <si>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</si>
  <si>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</si>
  <si>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</si>
  <si>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</si>
  <si>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</si>
  <si>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</si>
  <si>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</si>
  <si>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</si>
  <si>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</si>
  <si>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</si>
  <si>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</si>
  <si>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</si>
  <si>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</si>
  <si>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</si>
  <si>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</si>
  <si>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</si>
  <si>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</si>
  <si>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</si>
  <si>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</si>
  <si>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</si>
  <si>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</si>
  <si>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</si>
  <si>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</si>
  <si>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</si>
  <si>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</si>
  <si>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</si>
  <si>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</si>
  <si>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</si>
  <si>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</si>
  <si>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</si>
  <si>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</si>
  <si>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</si>
  <si>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</si>
  <si>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</si>
  <si>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</si>
  <si>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</si>
  <si>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</si>
  <si>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</si>
  <si>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</si>
  <si>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</si>
  <si>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</si>
  <si>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</si>
  <si>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</si>
  <si>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</si>
  <si>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</si>
  <si>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</si>
  <si>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</si>
  <si>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</si>
  <si>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</si>
  <si>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</si>
  <si>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</si>
  <si>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</si>
  <si>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</si>
  <si>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</si>
  <si>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</si>
  <si>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</si>
  <si>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</si>
  <si>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</si>
  <si>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</si>
  <si>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</si>
  <si>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</si>
  <si>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</si>
  <si>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</si>
  <si>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</si>
  <si>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</si>
  <si>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</si>
  <si>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</si>
  <si>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</si>
  <si>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</si>
  <si>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</si>
  <si>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</si>
  <si>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</si>
  <si>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</si>
  <si>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</si>
  <si>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</si>
  <si>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</si>
  <si>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</si>
  <si>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</si>
  <si>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</si>
  <si>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</si>
  <si>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</si>
  <si>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</si>
  <si>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</si>
  <si>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</si>
  <si>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</si>
  <si>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</si>
  <si>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</si>
  <si>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</si>
  <si>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</si>
  <si>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</si>
  <si>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</si>
  <si>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</si>
  <si>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</si>
  <si>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</si>
  <si>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</si>
  <si>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</si>
  <si>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</si>
  <si>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</si>
  <si>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</si>
  <si>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</si>
  <si>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</si>
  <si>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</si>
  <si>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</si>
  <si>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</si>
  <si>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</si>
  <si>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</si>
  <si>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</si>
  <si>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</si>
  <si>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</si>
  <si>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</si>
  <si>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</si>
  <si>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</si>
  <si>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</si>
  <si>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</si>
  <si>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</si>
  <si>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</si>
  <si>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</si>
  <si>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</si>
  <si>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</si>
  <si>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</si>
  <si>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</si>
  <si>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</si>
  <si>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</si>
  <si>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</si>
  <si>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</si>
  <si>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</si>
  <si>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</si>
  <si>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</si>
  <si>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</si>
  <si>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</si>
  <si>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</si>
  <si>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</si>
  <si>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</si>
  <si>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</si>
  <si>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</si>
  <si>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</si>
  <si>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</si>
  <si>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</si>
  <si>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</si>
  <si>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</si>
  <si>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</si>
  <si>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</si>
  <si>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</si>
  <si>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</si>
  <si>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</si>
  <si>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</si>
  <si>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</si>
  <si>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</si>
  <si>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</si>
  <si>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</si>
  <si>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</si>
  <si>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</si>
  <si>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</si>
  <si>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</si>
  <si>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</si>
  <si>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</si>
  <si>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</si>
  <si>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</si>
  <si>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</si>
  <si>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</si>
  <si>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</si>
  <si>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</si>
  <si>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</si>
  <si>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</si>
  <si>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</si>
  <si>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</si>
  <si>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</si>
  <si>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</si>
  <si>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</si>
  <si>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</si>
  <si>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</si>
  <si>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</si>
  <si>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</si>
  <si>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</si>
  <si>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</si>
  <si>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</si>
  <si>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</si>
  <si>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</si>
  <si>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</si>
  <si>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</si>
  <si>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</si>
  <si>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</si>
  <si>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</si>
  <si>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</si>
  <si>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</si>
  <si>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</si>
  <si>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</si>
  <si>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</si>
  <si>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</si>
  <si>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</si>
  <si>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</si>
  <si>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</si>
  <si>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</si>
  <si>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</si>
  <si>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</si>
  <si>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</si>
  <si>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</si>
  <si>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</si>
  <si>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</si>
  <si>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</si>
  <si>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</si>
  <si>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</si>
  <si>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</si>
  <si>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</si>
  <si>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</si>
  <si>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</si>
  <si>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</si>
  <si>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</si>
  <si>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</si>
  <si>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</si>
  <si>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</si>
  <si>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</si>
  <si>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</si>
  <si>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</si>
  <si>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</si>
  <si>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</si>
  <si>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</si>
  <si>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</si>
  <si>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</si>
  <si>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</si>
  <si>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</si>
  <si>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</si>
  <si>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</si>
  <si>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</si>
  <si>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</si>
  <si>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</si>
  <si>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</si>
  <si>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</si>
  <si>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</si>
  <si>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</si>
  <si>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</si>
  <si>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</si>
  <si>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</si>
  <si>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</si>
  <si>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</si>
  <si>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</si>
  <si>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</si>
  <si>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</si>
  <si>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</si>
  <si>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</si>
  <si>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</si>
  <si>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</si>
  <si>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</si>
  <si>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</si>
  <si>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</si>
  <si>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</si>
  <si>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</si>
  <si>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</si>
  <si>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</si>
  <si>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</si>
  <si>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</si>
  <si>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</si>
  <si>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</si>
  <si>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</si>
  <si>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</si>
  <si>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</si>
  <si>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</si>
  <si>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</si>
  <si>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</si>
  <si>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</si>
  <si>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</si>
  <si>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</si>
  <si>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</si>
  <si>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</si>
  <si>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</si>
  <si>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</si>
  <si>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</si>
  <si>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</si>
  <si>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</si>
  <si>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</si>
  <si>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</si>
  <si>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</si>
  <si>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</si>
  <si>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</si>
  <si>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</si>
  <si>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</si>
  <si>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</si>
  <si>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</si>
  <si>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</si>
  <si>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</si>
  <si>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</si>
  <si>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</si>
  <si>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</si>
  <si>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</si>
  <si>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</si>
  <si>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</si>
  <si>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</si>
  <si>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</si>
  <si>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</si>
  <si>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</si>
  <si>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</si>
  <si>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</si>
  <si>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</si>
  <si>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</si>
  <si>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</si>
  <si>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</si>
  <si>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</si>
  <si>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</si>
  <si>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</si>
  <si>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</si>
  <si>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</si>
  <si>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</si>
  <si>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</si>
  <si>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</si>
  <si>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</si>
  <si>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</si>
  <si>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</si>
  <si>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</si>
  <si>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</si>
  <si>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</si>
  <si>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</si>
  <si>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</si>
  <si>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</si>
  <si>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</si>
  <si>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</si>
  <si>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</si>
  <si>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</si>
  <si>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</si>
  <si>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</si>
  <si>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</si>
  <si>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</si>
  <si>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</si>
  <si>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</si>
  <si>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</si>
  <si>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</si>
  <si>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</si>
  <si>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</si>
  <si>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</si>
  <si>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</si>
  <si>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</si>
  <si>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</si>
  <si>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</si>
  <si>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</si>
  <si>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</si>
  <si>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</si>
  <si>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</si>
  <si>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</si>
  <si>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</si>
  <si>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</si>
  <si>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</si>
  <si>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</si>
  <si>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</si>
  <si>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</si>
  <si>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</si>
  <si>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</si>
  <si>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</si>
  <si>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</si>
  <si>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</si>
  <si>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</si>
  <si>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</si>
  <si>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</si>
  <si>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</si>
  <si>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</si>
  <si>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</si>
  <si>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</si>
  <si>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</si>
  <si>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</si>
  <si>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</si>
  <si>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</si>
  <si>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</si>
  <si>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</si>
  <si>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</si>
  <si>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</si>
  <si>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</si>
  <si>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</si>
  <si>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</si>
  <si>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</si>
  <si>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</si>
  <si>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</si>
  <si>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</si>
  <si>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</si>
  <si>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</si>
  <si>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</si>
  <si>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</si>
  <si>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</si>
  <si>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</si>
  <si>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</si>
  <si>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</si>
  <si>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</si>
  <si>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</si>
  <si>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</si>
  <si>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</si>
  <si>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</si>
  <si>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</si>
  <si>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</si>
  <si>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</si>
  <si>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</si>
  <si>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</si>
  <si>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</si>
  <si>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</si>
  <si>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</si>
  <si>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</si>
  <si>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</si>
  <si>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</si>
  <si>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</si>
  <si>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</si>
  <si>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</si>
  <si>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</si>
  <si>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</si>
  <si>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</si>
  <si>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</si>
  <si>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</si>
  <si>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</si>
  <si>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</si>
  <si>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</si>
  <si>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</si>
  <si>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</si>
  <si>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</si>
  <si>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</si>
  <si>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</si>
  <si>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</si>
  <si>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</si>
  <si>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</si>
  <si>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</si>
  <si>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</si>
  <si>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</si>
  <si>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</si>
  <si>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</si>
  <si>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</si>
  <si>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</si>
  <si>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</si>
  <si>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</si>
  <si>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</si>
  <si>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</si>
  <si>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</si>
  <si>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</si>
  <si>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</si>
  <si>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</si>
  <si>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</si>
  <si>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</si>
  <si>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</si>
  <si>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</si>
  <si>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</si>
  <si>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</si>
  <si>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</si>
  <si>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</si>
  <si>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</si>
  <si>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</si>
  <si>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</si>
  <si>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</si>
  <si>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</si>
  <si>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</si>
  <si>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</si>
  <si>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</si>
  <si>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</si>
  <si>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</si>
  <si>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</si>
  <si>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</si>
  <si>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</si>
  <si>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</si>
  <si>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</si>
  <si>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</si>
  <si>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</si>
  <si>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</si>
  <si>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</si>
  <si>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</si>
  <si>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</si>
  <si>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</si>
  <si>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</si>
  <si>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</si>
  <si>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</si>
  <si>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</si>
  <si>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</si>
  <si>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</si>
  <si>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</si>
  <si>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</si>
  <si>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</si>
  <si>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</si>
  <si>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</si>
  <si>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</si>
  <si>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</si>
  <si>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</si>
  <si>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</si>
  <si>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</si>
  <si>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</si>
  <si>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</si>
  <si>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</si>
  <si>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</si>
  <si>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</si>
  <si>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</si>
  <si>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</si>
  <si>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</si>
  <si>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</si>
  <si>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</si>
  <si>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</si>
  <si>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</si>
  <si>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</si>
  <si>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</si>
  <si>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</si>
  <si>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</si>
  <si>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</si>
  <si>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</si>
  <si>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</si>
  <si>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</si>
  <si>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</si>
  <si>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</si>
  <si>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</si>
  <si>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</si>
  <si>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</si>
  <si>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</si>
  <si>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</si>
  <si>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</si>
  <si>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</si>
  <si>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</si>
  <si>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</si>
  <si>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</si>
  <si>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</si>
  <si>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</si>
  <si>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</si>
  <si>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</si>
  <si>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</si>
  <si>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</si>
  <si>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</si>
  <si>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</si>
  <si>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</si>
  <si>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</si>
  <si>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</si>
  <si>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</si>
  <si>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</si>
  <si>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</si>
  <si>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</si>
  <si>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</si>
  <si>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</si>
  <si>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</si>
  <si>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</si>
  <si>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</si>
  <si>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</si>
  <si>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</si>
  <si>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</si>
  <si>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</si>
  <si>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</si>
  <si>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</si>
  <si>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</si>
  <si>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</si>
  <si>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</si>
  <si>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</si>
  <si>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</si>
  <si>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</si>
  <si>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</si>
  <si>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</si>
  <si>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</si>
  <si>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</si>
  <si>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</si>
  <si>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</si>
  <si>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</si>
  <si>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</si>
  <si>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</si>
  <si>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</si>
  <si>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</si>
  <si>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</si>
  <si>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</si>
  <si>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</si>
  <si>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</si>
  <si>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</si>
  <si>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</si>
  <si>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</si>
  <si>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</si>
  <si>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</si>
  <si>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</si>
  <si>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</si>
  <si>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</si>
  <si>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</si>
  <si>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</si>
  <si>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</si>
  <si>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</si>
  <si>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</si>
  <si>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</si>
  <si>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</si>
  <si>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</si>
  <si>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</si>
  <si>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</si>
  <si>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</si>
  <si>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</si>
  <si>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</si>
  <si>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</si>
  <si>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</si>
  <si>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</si>
  <si>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</si>
  <si>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</si>
  <si>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</si>
  <si>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</si>
  <si>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</si>
  <si>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</si>
  <si>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</si>
  <si>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</si>
  <si>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</si>
  <si>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</si>
  <si>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</si>
  <si>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</si>
  <si>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</si>
  <si>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</si>
  <si>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</si>
  <si>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</si>
  <si>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</si>
  <si>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</si>
  <si>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</si>
  <si>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</si>
  <si>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</si>
  <si>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</si>
  <si>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</si>
  <si>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</si>
  <si>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</si>
  <si>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</si>
  <si>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</si>
  <si>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</si>
  <si>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</si>
  <si>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</si>
  <si>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</si>
  <si>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</si>
  <si>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</si>
  <si>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</si>
  <si>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</si>
  <si>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</si>
  <si>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</si>
  <si>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</si>
  <si>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</si>
  <si>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</si>
  <si>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</si>
  <si>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</si>
  <si>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</si>
  <si>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</si>
  <si>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</si>
  <si>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</si>
  <si>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</si>
  <si>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</si>
  <si>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</si>
  <si>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</si>
  <si>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</si>
  <si>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</si>
  <si>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</si>
  <si>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</si>
  <si>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</si>
  <si>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</si>
  <si>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</si>
  <si>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</si>
  <si>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</si>
  <si>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</si>
  <si>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</si>
  <si>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</si>
  <si>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</si>
  <si>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</si>
  <si>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</si>
  <si>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</si>
  <si>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</si>
  <si>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</si>
  <si>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</si>
  <si>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</si>
  <si>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</si>
  <si>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</si>
  <si>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</si>
  <si>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</si>
  <si>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</si>
  <si>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</si>
  <si>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</si>
  <si>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</si>
  <si>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</si>
  <si>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</si>
  <si>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</si>
  <si>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</si>
  <si>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</si>
  <si>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</si>
  <si>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</si>
  <si>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</si>
  <si>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</si>
  <si>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</si>
  <si>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</si>
  <si>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</si>
  <si>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</si>
  <si>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</si>
  <si>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</si>
  <si>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</si>
  <si>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</si>
  <si>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</si>
  <si>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</si>
  <si>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</si>
  <si>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</si>
  <si>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</si>
  <si>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</si>
  <si>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</si>
  <si>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</si>
  <si>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</si>
  <si>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</si>
  <si>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</si>
  <si>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</si>
  <si>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</si>
  <si>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</si>
  <si>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</si>
  <si>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</si>
  <si>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</si>
  <si>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</si>
  <si>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</si>
  <si>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</si>
  <si>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</si>
  <si>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</si>
  <si>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</si>
  <si>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</si>
  <si>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</si>
  <si>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</si>
  <si>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</si>
  <si>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</si>
  <si>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</si>
  <si>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</si>
  <si>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</si>
  <si>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</si>
  <si>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</si>
  <si>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</si>
  <si>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</si>
  <si>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</si>
  <si>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</si>
  <si>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</si>
  <si>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</si>
  <si>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</si>
  <si>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</si>
  <si>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</si>
  <si>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</si>
  <si>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</si>
  <si>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</si>
  <si>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</si>
  <si>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</si>
  <si>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</si>
  <si>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</si>
  <si>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</si>
  <si>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</si>
  <si>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</si>
  <si>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</si>
  <si>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</si>
  <si>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</si>
  <si>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</si>
  <si>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</si>
  <si>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</si>
  <si>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</si>
  <si>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</si>
  <si>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</si>
  <si>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</si>
  <si>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</si>
  <si>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</si>
  <si>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</si>
  <si>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</si>
  <si>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</si>
  <si>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</si>
  <si>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</si>
  <si>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</si>
  <si>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</si>
  <si>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</si>
  <si>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</si>
  <si>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</si>
  <si>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</si>
  <si>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</si>
  <si>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</si>
  <si>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</si>
  <si>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</si>
  <si>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</si>
  <si>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</si>
  <si>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</si>
  <si>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</si>
  <si>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</si>
  <si>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</si>
  <si>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</si>
  <si>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</si>
  <si>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</si>
  <si>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</si>
  <si>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</si>
  <si>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</si>
  <si>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</si>
  <si>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</si>
  <si>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</si>
  <si>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</si>
  <si>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</si>
  <si>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</si>
  <si>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</si>
  <si>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</si>
  <si>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</si>
  <si>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</si>
  <si>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</si>
  <si>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</si>
  <si>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</si>
  <si>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</si>
  <si>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</si>
  <si>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</si>
  <si>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</si>
  <si>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</si>
  <si>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</si>
  <si>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</si>
  <si>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</si>
  <si>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</si>
  <si>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</si>
  <si>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</si>
  <si>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</si>
  <si>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</si>
  <si>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</si>
  <si>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</si>
  <si>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</si>
  <si>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</si>
  <si>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</si>
  <si>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</si>
  <si>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</si>
  <si>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</si>
  <si>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</si>
  <si>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</si>
  <si>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</si>
  <si>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</si>
  <si>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</si>
  <si>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</si>
  <si>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</si>
  <si>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</si>
  <si>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</si>
  <si>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</si>
  <si>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</si>
  <si>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</si>
  <si>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</si>
  <si>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</si>
  <si>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</si>
  <si>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</si>
  <si>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</si>
  <si>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</si>
  <si>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</si>
  <si>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</si>
  <si>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</si>
  <si>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</si>
  <si>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</si>
  <si>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</si>
  <si>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</si>
  <si>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</si>
  <si>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</si>
  <si>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</si>
  <si>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</si>
  <si>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</si>
  <si>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</si>
  <si>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</si>
  <si>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</si>
  <si>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</si>
  <si>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</si>
  <si>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</si>
  <si>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</si>
  <si>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</si>
  <si>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</si>
  <si>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</si>
  <si>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</si>
  <si>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</si>
  <si>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</si>
  <si>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</si>
  <si>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</si>
  <si>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</si>
  <si>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</si>
  <si>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</si>
  <si>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</si>
  <si>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</si>
  <si>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</si>
  <si>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</si>
  <si>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</si>
  <si>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</si>
  <si>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</si>
  <si>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</si>
  <si>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</si>
  <si>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</si>
  <si>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</si>
  <si>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</si>
  <si>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</si>
  <si>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</si>
  <si>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</si>
  <si>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</si>
  <si>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</si>
  <si>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</si>
  <si>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</si>
  <si>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</si>
  <si>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</si>
  <si>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</si>
  <si>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</si>
  <si>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</si>
  <si>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</si>
  <si>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</si>
  <si>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</si>
  <si>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</si>
  <si>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</si>
  <si>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</si>
  <si>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</si>
  <si>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</si>
  <si>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</si>
  <si>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</si>
  <si>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</si>
  <si>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</si>
  <si>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</si>
  <si>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</si>
  <si>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</si>
  <si>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</si>
  <si>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</si>
  <si>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</si>
  <si>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</si>
  <si>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</si>
  <si>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</si>
  <si>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</si>
  <si>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</si>
  <si>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</si>
  <si>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</si>
  <si>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</si>
  <si>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</si>
  <si>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</si>
  <si>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</si>
  <si>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</si>
  <si>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</si>
  <si>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</si>
  <si>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</si>
  <si>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</si>
  <si>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</si>
  <si>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</si>
  <si>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</si>
  <si>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</si>
  <si>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</si>
  <si>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</si>
  <si>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</si>
  <si>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</si>
  <si>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</si>
  <si>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</si>
  <si>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</si>
  <si>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</si>
  <si>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</si>
  <si>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</si>
  <si>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</si>
  <si>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</si>
  <si>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</si>
  <si>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</si>
  <si>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</si>
  <si>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</si>
  <si>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</si>
  <si>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</si>
  <si>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</si>
  <si>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</si>
  <si>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</si>
  <si>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</si>
  <si>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</si>
  <si>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</si>
  <si>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</si>
  <si>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</si>
  <si>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</si>
  <si>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</si>
  <si>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</si>
  <si>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</si>
  <si>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</si>
  <si>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</si>
  <si>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</si>
  <si>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</si>
  <si>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</si>
  <si>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</si>
  <si>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</si>
  <si>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</si>
  <si>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</si>
  <si>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</si>
  <si>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</si>
  <si>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</si>
  <si>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</si>
  <si>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</si>
  <si>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</si>
  <si>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</si>
  <si>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</si>
  <si>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</si>
  <si>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</si>
  <si>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</si>
  <si>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</si>
  <si>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</si>
  <si>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</si>
  <si>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</si>
  <si>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</si>
  <si>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</si>
  <si>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</si>
  <si>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</si>
  <si>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</si>
  <si>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</si>
  <si>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</si>
  <si>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</si>
  <si>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</si>
  <si>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</si>
  <si>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</si>
  <si>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</si>
  <si>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</si>
  <si>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</si>
  <si>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</si>
  <si>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</si>
  <si>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</si>
  <si>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</si>
  <si>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</si>
  <si>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</si>
  <si>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</si>
  <si>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</si>
  <si>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</si>
  <si>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</si>
  <si>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</si>
  <si>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</si>
  <si>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</si>
  <si>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</si>
  <si>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</si>
  <si>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</si>
  <si>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</si>
  <si>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</si>
  <si>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</si>
  <si>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</si>
  <si>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</si>
  <si>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</si>
  <si>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</si>
  <si>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</si>
  <si>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</si>
  <si>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</si>
  <si>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</si>
  <si>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</si>
  <si>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</si>
  <si>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</si>
  <si>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</si>
  <si>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</si>
  <si>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</si>
  <si>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</si>
  <si>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</si>
  <si>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</si>
  <si>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</si>
  <si>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</si>
  <si>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</si>
  <si>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</si>
  <si>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</si>
  <si>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</si>
  <si>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</si>
  <si>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</si>
  <si>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</si>
  <si>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</si>
  <si>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</si>
  <si>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</si>
  <si>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</si>
  <si>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</si>
  <si>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</si>
  <si>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</si>
  <si>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</si>
  <si>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</si>
  <si>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</si>
  <si>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</si>
  <si>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</si>
  <si>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</si>
  <si>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</si>
  <si>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</si>
  <si>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</si>
  <si>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</si>
  <si>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</si>
  <si>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</si>
  <si>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</si>
  <si>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</si>
  <si>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</si>
  <si>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</si>
  <si>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</si>
  <si>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</si>
  <si>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</si>
  <si>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</si>
  <si>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</si>
  <si>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</si>
  <si>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</si>
  <si>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</si>
  <si>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</si>
  <si>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</si>
  <si>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</si>
  <si>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</si>
  <si>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</si>
  <si>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</si>
  <si>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</si>
  <si>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</si>
  <si>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</si>
  <si>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</si>
  <si>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</si>
  <si>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</si>
  <si>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</si>
  <si>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</si>
  <si>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</si>
  <si>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</si>
  <si>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</si>
  <si>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</si>
  <si>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</si>
  <si>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</si>
  <si>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</si>
  <si>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</si>
  <si>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</si>
  <si>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</si>
  <si>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</si>
  <si>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</si>
  <si>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</si>
  <si>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</si>
  <si>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</si>
  <si>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</si>
  <si>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</si>
  <si>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</si>
  <si>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</si>
  <si>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</si>
  <si>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</si>
  <si>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</si>
  <si>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</si>
  <si>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</si>
  <si>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</si>
  <si>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</si>
  <si>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</si>
  <si>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</si>
  <si>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</si>
  <si>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</si>
  <si>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</si>
  <si>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</si>
  <si>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</si>
  <si>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</si>
  <si>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</si>
  <si>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</si>
  <si>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</si>
  <si>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</si>
  <si>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</si>
  <si>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</si>
  <si>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</si>
  <si>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</si>
  <si>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</si>
  <si>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</si>
  <si>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</si>
  <si>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</si>
  <si>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</si>
  <si>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</si>
  <si>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</si>
  <si>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</si>
  <si>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</si>
  <si>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</si>
  <si>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</si>
  <si>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</si>
  <si>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</si>
  <si>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</si>
  <si>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</si>
  <si>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</si>
  <si>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</si>
  <si>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</si>
  <si>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</si>
  <si>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</si>
  <si>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</si>
  <si>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</si>
  <si>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</si>
  <si>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</si>
  <si>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</si>
  <si>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</si>
  <si>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</si>
  <si>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</si>
  <si>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</si>
  <si>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</si>
  <si>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</si>
  <si>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</si>
  <si>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</si>
  <si>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</si>
  <si>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</si>
  <si>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</si>
  <si>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</si>
  <si>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</si>
  <si>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</si>
  <si>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</si>
  <si>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</si>
  <si>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</si>
  <si>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</si>
  <si>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</si>
  <si>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</si>
  <si>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</si>
  <si>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</si>
  <si>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</si>
  <si>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</si>
  <si>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</si>
  <si>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</si>
  <si>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</si>
  <si>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</si>
  <si>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</si>
  <si>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</si>
  <si>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</si>
  <si>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</si>
  <si>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</si>
  <si>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</si>
  <si>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</si>
  <si>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</si>
  <si>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</si>
  <si>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</si>
  <si>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</si>
  <si>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</si>
  <si>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</si>
  <si>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</si>
  <si>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</si>
  <si>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</si>
  <si>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</si>
  <si>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</si>
  <si>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</si>
  <si>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</si>
  <si>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</si>
  <si>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</si>
  <si>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</si>
  <si>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</si>
  <si>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</si>
  <si>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</si>
  <si>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</si>
  <si>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</si>
  <si>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</si>
  <si>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</si>
  <si>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</si>
  <si>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</si>
  <si>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</si>
  <si>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</si>
  <si>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</si>
  <si>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</si>
  <si>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</si>
  <si>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</si>
  <si>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</si>
  <si>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</si>
  <si>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</si>
  <si>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</si>
  <si>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</si>
  <si>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</si>
  <si>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</si>
  <si>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</si>
  <si>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</si>
  <si>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</si>
  <si>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</si>
  <si>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</si>
  <si>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</si>
  <si>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</si>
  <si>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</si>
  <si>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</si>
  <si>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</si>
  <si>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</si>
  <si>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</si>
  <si>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</si>
  <si>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</si>
  <si>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</si>
  <si>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</si>
  <si>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</si>
  <si>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</si>
  <si>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</si>
  <si>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</si>
  <si>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</si>
  <si>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</si>
  <si>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</si>
  <si>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</si>
  <si>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</si>
  <si>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</si>
  <si>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</si>
  <si>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</si>
  <si>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</si>
  <si>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</si>
  <si>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</si>
  <si>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</si>
  <si>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</si>
  <si>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</si>
  <si>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</si>
  <si>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</si>
  <si>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</si>
  <si>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</si>
  <si>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</si>
  <si>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</si>
  <si>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</si>
  <si>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</si>
  <si>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</si>
  <si>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</si>
  <si>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</si>
  <si>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</si>
  <si>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</si>
  <si>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</si>
  <si>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</si>
  <si>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</si>
  <si>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</si>
  <si>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</si>
  <si>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</si>
  <si>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</si>
  <si>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</si>
  <si>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</si>
  <si>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</si>
  <si>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</si>
  <si>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</si>
  <si>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</si>
  <si>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</si>
  <si>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</si>
  <si>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</si>
  <si>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</si>
  <si>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</si>
  <si>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</si>
  <si>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</si>
  <si>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</si>
  <si>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</si>
  <si>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</si>
  <si>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</si>
  <si>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</si>
  <si>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</si>
  <si>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</si>
  <si>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</si>
  <si>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</si>
  <si>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</si>
  <si>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</si>
  <si>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</si>
  <si>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</si>
  <si>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</si>
  <si>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</si>
  <si>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</si>
  <si>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</si>
  <si>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</si>
  <si>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</si>
  <si>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</si>
  <si>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</si>
  <si>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</si>
  <si>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</si>
  <si>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</si>
  <si>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</si>
  <si>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</si>
  <si>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</si>
  <si>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</si>
  <si>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</si>
  <si>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</si>
  <si>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</si>
  <si>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</si>
  <si>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</si>
  <si>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</si>
  <si>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</si>
  <si>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</si>
  <si>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</si>
  <si>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</si>
  <si>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</si>
  <si>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</si>
  <si>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</si>
  <si>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</si>
  <si>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</si>
  <si>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</si>
  <si>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</si>
  <si>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</si>
  <si>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</si>
  <si>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</si>
  <si>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</si>
  <si>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</si>
  <si>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</si>
  <si>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</si>
  <si>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</si>
  <si>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</si>
  <si>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</si>
  <si>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</si>
  <si>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</si>
  <si>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</si>
  <si>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</si>
  <si>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</si>
  <si>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</si>
  <si>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</si>
  <si>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</si>
  <si>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</si>
  <si>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</si>
  <si>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</si>
  <si>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</si>
  <si>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</si>
  <si>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</si>
  <si>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</si>
  <si>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</si>
  <si>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</si>
  <si>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</si>
  <si>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</si>
  <si>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</si>
  <si>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</si>
  <si>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</si>
  <si>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</si>
  <si>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</si>
  <si>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</si>
  <si>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</si>
  <si>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</si>
  <si>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</si>
  <si>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</si>
  <si>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</si>
  <si>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</si>
  <si>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</si>
  <si>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</si>
  <si>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</si>
  <si>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</si>
  <si>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</si>
  <si>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</si>
  <si>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</si>
  <si>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</si>
  <si>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</si>
  <si>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</si>
  <si>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</si>
  <si>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</si>
  <si>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</si>
  <si>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</si>
  <si>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</si>
  <si>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</si>
  <si>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</si>
  <si>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</si>
  <si>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</si>
  <si>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</si>
  <si>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</si>
  <si>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</si>
  <si>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</si>
  <si>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</si>
  <si>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</si>
  <si>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</si>
  <si>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</si>
  <si>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</si>
  <si>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</si>
  <si>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</si>
  <si>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</si>
  <si>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</si>
  <si>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</si>
  <si>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</si>
  <si>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</si>
  <si>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</si>
  <si>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</si>
  <si>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</si>
  <si>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</si>
  <si>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</si>
  <si>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</si>
  <si>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</si>
  <si>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</si>
  <si>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</si>
  <si>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</si>
  <si>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</si>
  <si>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</si>
  <si>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</si>
  <si>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</si>
  <si>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</si>
  <si>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</si>
  <si>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</si>
  <si>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</si>
  <si>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</si>
  <si>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</si>
  <si>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</si>
  <si>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</si>
  <si>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</si>
  <si>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</si>
  <si>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</si>
  <si>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</si>
  <si>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</si>
  <si>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</si>
  <si>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</si>
  <si>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</si>
  <si>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</si>
  <si>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</si>
  <si>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</si>
  <si>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</si>
  <si>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</si>
  <si>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</si>
  <si>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</si>
  <si>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</si>
  <si>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</si>
  <si>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</si>
  <si>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</si>
  <si>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</si>
  <si>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</si>
  <si>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</si>
  <si>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</si>
  <si>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</si>
  <si>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</si>
  <si>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</si>
  <si>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</si>
  <si>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</si>
  <si>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</si>
  <si>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</si>
  <si>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</si>
  <si>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</si>
  <si>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</si>
  <si>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</si>
  <si>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</si>
  <si>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</si>
  <si>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</si>
  <si>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</si>
  <si>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</si>
  <si>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</si>
  <si>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</si>
  <si>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</si>
  <si>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</si>
  <si>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</si>
  <si>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</si>
  <si>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</si>
  <si>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</si>
  <si>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</si>
  <si>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</si>
  <si>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</si>
  <si>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</si>
  <si>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</si>
  <si>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</si>
  <si>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</si>
  <si>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</si>
  <si>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</si>
  <si>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</si>
  <si>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</si>
  <si>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</si>
  <si>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</si>
  <si>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</si>
  <si>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</si>
  <si>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</si>
  <si>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</si>
  <si>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</si>
  <si>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</si>
  <si>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</si>
  <si>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</si>
  <si>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</si>
  <si>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</si>
  <si>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</si>
  <si>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</si>
  <si>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</si>
  <si>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</si>
  <si>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</si>
  <si>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</si>
  <si>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</si>
  <si>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</si>
  <si>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</si>
  <si>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</si>
  <si>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</si>
  <si>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</si>
  <si>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</si>
  <si>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</si>
  <si>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</si>
  <si>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</si>
  <si>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</si>
  <si>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</si>
  <si>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</si>
  <si>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</si>
  <si>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</si>
  <si>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</si>
  <si>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</si>
  <si>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</si>
  <si>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</si>
  <si>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</si>
  <si>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</si>
  <si>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</si>
  <si>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</si>
  <si>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</si>
  <si>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</si>
  <si>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</si>
  <si>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</si>
  <si>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</si>
  <si>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</si>
  <si>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</si>
  <si>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</si>
  <si>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</si>
  <si>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</si>
  <si>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</si>
  <si>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</si>
  <si>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</si>
  <si>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</si>
  <si>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</si>
  <si>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</si>
  <si>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</si>
  <si>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</si>
  <si>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</si>
  <si>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</si>
  <si>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</si>
  <si>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</si>
  <si>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</si>
  <si>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</si>
  <si>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</si>
  <si>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</si>
  <si>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</si>
  <si>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</si>
  <si>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</si>
  <si>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</si>
  <si>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</si>
  <si>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</si>
  <si>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</si>
  <si>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</si>
  <si>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</si>
  <si>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</si>
  <si>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</si>
  <si>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</si>
  <si>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</si>
  <si>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</si>
  <si>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</si>
  <si>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</si>
  <si>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</si>
  <si>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</si>
  <si>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</si>
  <si>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</si>
  <si>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</si>
  <si>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</si>
  <si>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</si>
  <si>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</si>
  <si>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</si>
  <si>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</si>
  <si>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</si>
  <si>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</si>
  <si>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</si>
  <si>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</si>
  <si>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</si>
  <si>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</si>
  <si>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</si>
  <si>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</si>
  <si>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</si>
  <si>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</si>
  <si>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</si>
  <si>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</si>
  <si>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</si>
  <si>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</si>
  <si>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</si>
  <si>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</si>
  <si>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</si>
  <si>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</si>
  <si>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</si>
  <si>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</si>
  <si>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</si>
  <si>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</si>
  <si>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</si>
  <si>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</si>
  <si>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</si>
  <si>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</si>
  <si>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</si>
  <si>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</si>
  <si>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</si>
  <si>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</si>
  <si>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</si>
  <si>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</si>
  <si>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</si>
  <si>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</si>
  <si>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</si>
  <si>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</si>
  <si>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</si>
  <si>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</si>
  <si>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</si>
  <si>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</si>
  <si>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</si>
  <si>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</si>
  <si>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</si>
  <si>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</si>
  <si>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</si>
  <si>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</si>
  <si>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</si>
  <si>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</si>
  <si>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</si>
  <si>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</si>
  <si>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</si>
  <si>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</si>
  <si>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</si>
  <si>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</si>
  <si>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</si>
  <si>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</si>
  <si>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</si>
  <si>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</si>
  <si>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</si>
  <si>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</si>
  <si>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</si>
  <si>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</si>
  <si>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</si>
  <si>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</si>
  <si>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</si>
  <si>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</si>
  <si>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</si>
  <si>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</si>
  <si>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</si>
  <si>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</si>
  <si>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</si>
  <si>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</si>
  <si>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</si>
  <si>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</si>
  <si>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</si>
  <si>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</si>
  <si>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</si>
  <si>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</si>
  <si>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</si>
  <si>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</si>
  <si>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</si>
  <si>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</si>
  <si>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</si>
  <si>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</si>
  <si>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</si>
  <si>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</si>
  <si>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</si>
  <si>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</si>
  <si>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</si>
  <si>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</si>
  <si>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</si>
  <si>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</si>
  <si>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</si>
  <si>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</si>
  <si>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</si>
  <si>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</si>
  <si>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</si>
  <si>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</si>
  <si>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</si>
  <si>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</si>
  <si>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</si>
  <si>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</si>
  <si>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</si>
  <si>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</si>
  <si>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</si>
  <si>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</si>
  <si>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</si>
  <si>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</si>
  <si>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</si>
  <si>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</si>
  <si>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</si>
  <si>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</si>
  <si>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</si>
  <si>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</si>
  <si>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</si>
  <si>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</si>
  <si>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</si>
  <si>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</si>
  <si>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</si>
  <si>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</si>
  <si>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</si>
  <si>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</si>
  <si>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</si>
  <si>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</si>
  <si>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</si>
  <si>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</si>
  <si>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</si>
  <si>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</si>
  <si>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</si>
  <si>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</si>
  <si>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</si>
  <si>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</si>
  <si>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</si>
  <si>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</si>
  <si>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</si>
  <si>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</si>
  <si>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</si>
  <si>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</si>
  <si>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</si>
  <si>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</si>
  <si>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</si>
  <si>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</si>
  <si>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</si>
  <si>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</si>
  <si>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</si>
  <si>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</si>
  <si>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</si>
  <si>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</si>
  <si>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</si>
  <si>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</si>
  <si>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</si>
  <si>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</si>
  <si>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</si>
  <si>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</si>
  <si>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</si>
  <si>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</si>
  <si>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</si>
  <si>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</si>
  <si>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</si>
  <si>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</si>
  <si>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</si>
  <si>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</si>
  <si>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</si>
  <si>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</si>
  <si>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</si>
  <si>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</si>
  <si>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</si>
  <si>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</si>
  <si>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</si>
  <si>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</si>
  <si>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</si>
  <si>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</si>
  <si>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</si>
  <si>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</si>
  <si>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</si>
  <si>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</si>
  <si>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</si>
  <si>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</si>
  <si>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</si>
  <si>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</si>
  <si>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</si>
  <si>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</si>
  <si>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</si>
  <si>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</si>
  <si>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</si>
  <si>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</si>
  <si>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</si>
  <si>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</si>
  <si>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</si>
  <si>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</si>
  <si>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</si>
  <si>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</si>
  <si>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</si>
  <si>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</si>
  <si>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</si>
  <si>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</si>
  <si>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</si>
  <si>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</si>
  <si>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</si>
  <si>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</si>
  <si>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</si>
  <si>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</si>
  <si>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</si>
  <si>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</si>
  <si>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</si>
  <si>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</si>
  <si>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</si>
  <si>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</si>
  <si>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</si>
  <si>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</si>
  <si>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</si>
  <si>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</si>
  <si>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</si>
  <si>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</si>
  <si>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</si>
  <si>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</si>
  <si>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</si>
  <si>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</si>
  <si>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</si>
  <si>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</si>
  <si>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</si>
  <si>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</si>
  <si>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</si>
  <si>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</si>
  <si>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</si>
  <si>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</si>
  <si>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</si>
  <si>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</si>
  <si>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</si>
  <si>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</si>
  <si>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</si>
  <si>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</si>
  <si>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</si>
  <si>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</si>
  <si>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</si>
  <si>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</si>
  <si>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</si>
  <si>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</si>
  <si>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</si>
  <si>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</si>
  <si>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</si>
  <si>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</si>
  <si>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</si>
  <si>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</si>
  <si>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</si>
  <si>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</si>
  <si>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</si>
  <si>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</si>
  <si>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</si>
  <si>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</si>
  <si>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</si>
  <si>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</si>
  <si>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</si>
  <si>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</si>
  <si>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</si>
  <si>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</si>
  <si>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</si>
  <si>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</si>
  <si>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</si>
  <si>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</si>
  <si>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</si>
  <si>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</si>
  <si>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</si>
  <si>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</si>
  <si>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</si>
  <si>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</si>
  <si>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</si>
  <si>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</si>
  <si>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</si>
  <si>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</si>
  <si>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</si>
  <si>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</si>
  <si>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</si>
  <si>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</si>
  <si>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</si>
  <si>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</si>
  <si>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</si>
  <si>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</si>
  <si>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</si>
  <si>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</si>
  <si>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</si>
  <si>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</si>
  <si>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</si>
  <si>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</si>
  <si>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</si>
  <si>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</si>
  <si>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</si>
  <si>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</si>
  <si>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</si>
  <si>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</si>
  <si>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</si>
  <si>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</si>
  <si>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</si>
  <si>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</si>
  <si>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</si>
  <si>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</si>
  <si>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</si>
  <si>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</si>
  <si>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</si>
  <si>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</si>
  <si>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</si>
  <si>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</si>
  <si>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</si>
  <si>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</si>
  <si>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</si>
  <si>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</si>
  <si>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</si>
  <si>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</si>
  <si>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</si>
  <si>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</si>
  <si>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</si>
  <si>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</si>
  <si>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</si>
  <si>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</si>
  <si>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</si>
  <si>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</si>
  <si>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</si>
  <si>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</si>
  <si>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</si>
  <si>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</si>
  <si>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</si>
  <si>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</si>
  <si>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</si>
  <si>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</si>
  <si>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</si>
  <si>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</si>
  <si>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</si>
  <si>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</si>
  <si>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</si>
  <si>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</si>
  <si>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</si>
  <si>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</si>
  <si>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</si>
  <si>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</si>
  <si>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</si>
  <si>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</si>
  <si>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</si>
  <si>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</si>
  <si>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</si>
  <si>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</si>
  <si>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</si>
  <si>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</si>
  <si>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</si>
  <si>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</si>
  <si>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</si>
  <si>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</si>
  <si>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</si>
  <si>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</si>
  <si>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</si>
  <si>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</si>
  <si>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</si>
  <si>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</si>
  <si>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</si>
  <si>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</si>
  <si>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</si>
  <si>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</si>
  <si>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</si>
  <si>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</si>
  <si>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</si>
  <si>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</si>
  <si>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</si>
  <si>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</si>
  <si>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</si>
  <si>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</si>
  <si>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</si>
  <si>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</si>
  <si>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</si>
  <si>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</si>
  <si>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</si>
  <si>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</si>
  <si>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</si>
  <si>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</si>
  <si>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</si>
  <si>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</si>
  <si>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</si>
  <si>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</si>
  <si>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</si>
  <si>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</si>
  <si>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</si>
  <si>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</si>
  <si>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</si>
  <si>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</si>
  <si>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</si>
  <si>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</si>
  <si>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</si>
  <si>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</si>
  <si>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</si>
  <si>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</si>
  <si>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</si>
  <si>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</si>
  <si>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</si>
  <si>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</si>
  <si>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</si>
  <si>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</si>
  <si>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</si>
  <si>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</si>
  <si>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</si>
  <si>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</si>
  <si>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</si>
  <si>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</si>
  <si>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</si>
  <si>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</si>
  <si>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</si>
  <si>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</si>
  <si>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</si>
  <si>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</si>
  <si>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</si>
  <si>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</si>
  <si>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</si>
  <si>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</si>
  <si>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</si>
  <si>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</si>
  <si>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</si>
  <si>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</si>
  <si>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</si>
  <si>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</si>
  <si>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</si>
  <si>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</si>
  <si>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</si>
  <si>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</si>
  <si>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</si>
  <si>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</si>
  <si>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</si>
  <si>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</si>
  <si>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</si>
  <si>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</si>
  <si>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</si>
  <si>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</si>
  <si>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</si>
  <si>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</si>
  <si>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</si>
  <si>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</si>
  <si>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</si>
  <si>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</si>
  <si>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</si>
  <si>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</si>
  <si>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</si>
  <si>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</si>
  <si>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</si>
  <si>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</si>
  <si>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</si>
  <si>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</si>
  <si>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</si>
  <si>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</si>
  <si>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</si>
  <si>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</si>
  <si>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</si>
  <si>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</si>
  <si>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</si>
  <si>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</si>
  <si>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</si>
  <si>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</si>
  <si>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</si>
  <si>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</si>
  <si>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</si>
  <si>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</si>
  <si>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</si>
  <si>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</si>
  <si>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</si>
  <si>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</si>
  <si>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</si>
  <si>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</si>
  <si>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</si>
  <si>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</si>
  <si>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</si>
  <si>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</si>
  <si>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</si>
  <si>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</si>
  <si>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</si>
  <si>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</si>
  <si>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</si>
  <si>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</si>
  <si>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</si>
  <si>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</si>
  <si>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</si>
  <si>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</si>
  <si>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</si>
  <si>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</si>
  <si>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</si>
  <si>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</si>
  <si>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</si>
  <si>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</si>
  <si>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</si>
  <si>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</si>
  <si>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</si>
  <si>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</si>
  <si>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</si>
  <si>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</si>
  <si>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</si>
  <si>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</si>
  <si>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</si>
  <si>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</si>
  <si>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</si>
  <si>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</si>
  <si>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</si>
  <si>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</si>
  <si>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</si>
  <si>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</si>
  <si>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</si>
  <si>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</si>
  <si>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</si>
  <si>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</si>
  <si>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</si>
  <si>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</si>
  <si>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</si>
  <si>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</si>
  <si>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</si>
  <si>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</si>
  <si>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</si>
  <si>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</si>
  <si>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</si>
  <si>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</si>
  <si>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</si>
  <si>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</si>
  <si>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</si>
  <si>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</si>
  <si>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</si>
  <si>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</si>
  <si>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</si>
  <si>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</si>
  <si>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</si>
  <si>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</si>
  <si>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</si>
  <si>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</si>
  <si>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</si>
  <si>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</si>
  <si>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</si>
  <si>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</si>
  <si>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</si>
  <si>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</si>
  <si>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</si>
  <si>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</si>
  <si>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</si>
  <si>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</si>
  <si>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</si>
  <si>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</si>
  <si>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</si>
  <si>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</si>
  <si>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</si>
  <si>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</si>
  <si>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</si>
  <si>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</si>
  <si>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</si>
  <si>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</si>
  <si>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</si>
  <si>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</si>
  <si>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</si>
  <si>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</si>
  <si>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</si>
  <si>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</si>
  <si>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</si>
  <si>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</si>
  <si>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</si>
  <si>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</si>
  <si>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</si>
  <si>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</si>
  <si>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</si>
  <si>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</si>
  <si>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</si>
  <si>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</si>
  <si>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</si>
  <si>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</si>
  <si>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</si>
  <si>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</si>
  <si>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</si>
  <si>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</si>
  <si>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</si>
  <si>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</si>
  <si>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</si>
  <si>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</si>
  <si>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</si>
  <si>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</si>
  <si>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</si>
  <si>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</si>
  <si>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</si>
  <si>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</si>
  <si>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</si>
  <si>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</si>
  <si>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</si>
  <si>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</si>
  <si>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</si>
  <si>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</si>
  <si>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</si>
  <si>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</si>
  <si>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</si>
  <si>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</si>
  <si>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</si>
  <si>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</si>
  <si>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</si>
  <si>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</si>
  <si>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</si>
  <si>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</si>
  <si>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</si>
  <si>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</si>
  <si>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</si>
  <si>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</si>
  <si>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</si>
  <si>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</si>
  <si>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</si>
  <si>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</si>
  <si>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</si>
  <si>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</si>
  <si>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</si>
  <si>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</si>
  <si>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</si>
  <si>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</si>
  <si>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</si>
  <si>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</si>
  <si>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</si>
  <si>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</si>
  <si>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</si>
  <si>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</si>
  <si>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</si>
  <si>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</si>
  <si>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</si>
  <si>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</si>
  <si>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</si>
  <si>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</si>
  <si>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</si>
  <si>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</si>
  <si>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</si>
  <si>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</si>
  <si>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</si>
  <si>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</si>
  <si>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</si>
  <si>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</si>
  <si>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</si>
  <si>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</si>
  <si>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</si>
  <si>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</si>
  <si>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</si>
  <si>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</si>
  <si>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</si>
  <si>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</si>
  <si>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</si>
  <si>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</si>
  <si>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</si>
  <si>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</si>
  <si>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</si>
  <si>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</si>
  <si>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</si>
  <si>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</si>
  <si>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</si>
  <si>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</si>
  <si>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</si>
  <si>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</si>
  <si>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</si>
  <si>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</si>
  <si>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</si>
  <si>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</si>
  <si>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</si>
  <si>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</si>
  <si>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</si>
  <si>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</si>
  <si>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</si>
  <si>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</si>
  <si>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</si>
  <si>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</si>
  <si>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</si>
  <si>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</si>
  <si>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</si>
  <si>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</si>
  <si>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</si>
  <si>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</si>
  <si>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</si>
  <si>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</si>
  <si>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</si>
  <si>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</si>
  <si>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</si>
  <si>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</si>
  <si>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</si>
  <si>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</si>
  <si>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</si>
  <si>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</si>
  <si>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</si>
  <si>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</si>
  <si>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</si>
  <si>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</si>
  <si>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</si>
  <si>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</si>
  <si>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</si>
  <si>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</si>
  <si>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</si>
  <si>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</si>
  <si>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</si>
  <si>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</si>
  <si>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</si>
  <si>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</si>
  <si>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</si>
  <si>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</si>
  <si>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</si>
  <si>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</si>
  <si>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</si>
  <si>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</si>
  <si>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</si>
  <si>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</si>
  <si>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</si>
  <si>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</si>
  <si>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</si>
  <si>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</si>
  <si>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</si>
  <si>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</si>
  <si>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</si>
  <si>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</si>
  <si>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</si>
  <si>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</si>
  <si>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</si>
  <si>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</si>
  <si>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</si>
  <si>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</si>
  <si>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</si>
  <si>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</si>
  <si>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</si>
  <si>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</si>
  <si>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</si>
  <si>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</si>
  <si>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</si>
  <si>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</si>
  <si>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</si>
  <si>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</si>
  <si>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</si>
  <si>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</si>
  <si>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</si>
  <si>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</si>
  <si>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</si>
  <si>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</si>
  <si>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</si>
  <si>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</si>
  <si>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</si>
  <si>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</si>
  <si>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</si>
  <si>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</si>
  <si>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</si>
  <si>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</si>
  <si>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</si>
  <si>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</si>
  <si>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</si>
  <si>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</si>
  <si>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</si>
  <si>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</si>
  <si>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</si>
  <si>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</si>
  <si>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</si>
  <si>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</si>
  <si>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</si>
  <si>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</si>
  <si>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</si>
  <si>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</si>
  <si>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</si>
  <si>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</si>
  <si>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</si>
  <si>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</si>
  <si>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</si>
  <si>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</si>
  <si>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</si>
  <si>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</si>
  <si>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</si>
  <si>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</si>
  <si>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</si>
  <si>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</si>
  <si>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</si>
  <si>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</si>
  <si>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</si>
  <si>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</si>
  <si>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</si>
  <si>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</si>
  <si>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</si>
  <si>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</si>
  <si>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</si>
  <si>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</si>
  <si>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</si>
  <si>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</si>
  <si>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</si>
  <si>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</si>
  <si>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</si>
  <si>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</si>
  <si>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</si>
  <si>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</si>
  <si>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</si>
  <si>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</si>
  <si>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</si>
  <si>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</si>
  <si>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</si>
  <si>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</si>
  <si>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</si>
  <si>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</si>
  <si>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</si>
  <si>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</si>
  <si>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</si>
  <si>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</si>
  <si>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</si>
  <si>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</si>
  <si>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</si>
  <si>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</si>
  <si>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</si>
  <si>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</si>
  <si>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</si>
  <si>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</si>
  <si>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</si>
  <si>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</si>
  <si>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</si>
  <si>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</si>
  <si>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</si>
  <si>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</si>
  <si>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</si>
  <si>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</si>
  <si>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</si>
  <si>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</si>
  <si>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</si>
  <si>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</si>
  <si>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</si>
  <si>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</si>
  <si>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</si>
  <si>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</si>
  <si>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</si>
  <si>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</si>
  <si>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</si>
  <si>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</si>
  <si>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</si>
  <si>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</si>
  <si>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</si>
  <si>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</si>
  <si>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</si>
  <si>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</si>
  <si>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</si>
  <si>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</si>
  <si>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</si>
  <si>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</si>
  <si>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</si>
  <si>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</si>
  <si>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</si>
  <si>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</si>
  <si>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</si>
  <si>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</si>
  <si>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</si>
  <si>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</si>
  <si>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</si>
  <si>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</si>
  <si>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</si>
  <si>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</si>
  <si>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</si>
  <si>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</si>
  <si>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</si>
  <si>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</si>
  <si>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</si>
  <si>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</si>
  <si>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</si>
  <si>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</si>
  <si>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</si>
  <si>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</si>
  <si>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</si>
  <si>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</si>
  <si>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</si>
  <si>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</si>
  <si>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</si>
  <si>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</si>
  <si>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</si>
  <si>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</si>
  <si>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</si>
  <si>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</si>
  <si>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</si>
  <si>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</si>
  <si>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</si>
  <si>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</si>
  <si>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</si>
  <si>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</si>
  <si>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</si>
  <si>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</si>
  <si>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</si>
  <si>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</si>
  <si>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</si>
  <si>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</si>
  <si>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</si>
  <si>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</si>
  <si>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</si>
  <si>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</si>
  <si>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</si>
  <si>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</si>
  <si>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</si>
  <si>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</si>
  <si>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</si>
  <si>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</si>
  <si>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</si>
  <si>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</si>
  <si>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</si>
  <si>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</si>
  <si>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</si>
  <si>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</si>
  <si>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</si>
  <si>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</si>
  <si>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</si>
  <si>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</si>
  <si>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</si>
  <si>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</si>
  <si>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</si>
  <si>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</si>
  <si>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</si>
  <si>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</si>
  <si>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</si>
  <si>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</si>
  <si>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</si>
  <si>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</si>
  <si>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</si>
  <si>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</si>
  <si>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</si>
  <si>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</si>
  <si>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</si>
  <si>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</si>
  <si>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</si>
  <si>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</si>
  <si>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</si>
  <si>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</si>
  <si>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</si>
  <si>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</si>
  <si>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</si>
  <si>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</si>
  <si>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</si>
  <si>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</si>
  <si>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</si>
  <si>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</si>
  <si>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</si>
  <si>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</si>
  <si>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</si>
  <si>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</si>
  <si>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</si>
  <si>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</si>
  <si>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</si>
  <si>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</si>
  <si>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</si>
  <si>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</si>
  <si>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</si>
  <si>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</si>
  <si>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</si>
  <si>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</si>
  <si>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</si>
  <si>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</si>
  <si>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</si>
  <si>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</si>
  <si>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</si>
  <si>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</si>
  <si>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</si>
  <si>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</si>
  <si>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</si>
  <si>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</si>
  <si>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</si>
  <si>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</si>
  <si>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</si>
  <si>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</si>
  <si>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</si>
  <si>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</si>
  <si>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</si>
  <si>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</si>
  <si>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</si>
  <si>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</si>
  <si>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</si>
  <si>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</si>
  <si>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</si>
  <si>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</si>
  <si>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</si>
  <si>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</si>
  <si>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</si>
  <si>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</si>
  <si>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</si>
  <si>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</si>
  <si>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</si>
  <si>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</si>
  <si>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</si>
  <si>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</si>
  <si>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</si>
  <si>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</si>
  <si>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</si>
  <si>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</si>
  <si>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</si>
  <si>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</si>
  <si>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</si>
  <si>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</si>
  <si>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</si>
  <si>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</si>
  <si>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</si>
  <si>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</si>
  <si>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</si>
  <si>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</si>
  <si>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</si>
  <si>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</si>
  <si>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</si>
  <si>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</si>
  <si>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</si>
  <si>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</si>
  <si>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</si>
  <si>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</si>
  <si>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</si>
  <si>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</si>
  <si>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</si>
  <si>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</si>
  <si>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</si>
  <si>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</si>
  <si>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</si>
  <si>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</si>
  <si>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</si>
  <si>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</si>
  <si>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</si>
  <si>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</si>
  <si>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</si>
  <si>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</si>
  <si>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</si>
  <si>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</si>
  <si>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</si>
  <si>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</si>
  <si>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</si>
  <si>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</si>
  <si>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</si>
  <si>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</si>
  <si>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</si>
  <si>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</si>
  <si>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</si>
  <si>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</si>
  <si>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</si>
  <si>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</si>
  <si>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</si>
  <si>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</si>
  <si>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</si>
  <si>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</si>
  <si>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</si>
  <si>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</si>
  <si>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</si>
  <si>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</si>
  <si>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</si>
  <si>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</si>
  <si>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</si>
  <si>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</si>
  <si>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</si>
  <si>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</si>
  <si>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</si>
  <si>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</si>
  <si>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</si>
  <si>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</si>
  <si>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</si>
  <si>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</si>
  <si>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</si>
  <si>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</si>
  <si>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</si>
  <si>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</si>
  <si>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</si>
  <si>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</si>
  <si>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</si>
  <si>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</si>
  <si>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</si>
  <si>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</si>
  <si>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</si>
  <si>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</si>
  <si>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</si>
  <si>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</si>
  <si>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</si>
  <si>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</si>
  <si>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</si>
  <si>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</si>
  <si>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</si>
  <si>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</si>
  <si>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</si>
  <si>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</si>
  <si>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</si>
  <si>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</si>
  <si>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</si>
  <si>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</si>
  <si>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</si>
  <si>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</si>
  <si>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</si>
  <si>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</si>
  <si>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</si>
  <si>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</si>
  <si>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</si>
  <si>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</si>
  <si>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</si>
  <si>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</si>
  <si>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</si>
  <si>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</si>
  <si>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</si>
  <si>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</si>
  <si>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</si>
  <si>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</si>
  <si>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</si>
  <si>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</si>
  <si>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</si>
  <si>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</si>
  <si>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</si>
  <si>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</si>
  <si>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</si>
  <si>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</si>
  <si>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</si>
  <si>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</si>
  <si>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</si>
  <si>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</si>
  <si>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</si>
  <si>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</si>
  <si>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</si>
  <si>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</si>
  <si>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</si>
  <si>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</si>
  <si>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</si>
  <si>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</si>
  <si>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</si>
  <si>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</si>
  <si>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</si>
  <si>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</si>
  <si>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</si>
  <si>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</si>
  <si>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</si>
  <si>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</si>
  <si>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</si>
  <si>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</si>
  <si>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</si>
  <si>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</si>
  <si>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</si>
  <si>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</si>
  <si>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</si>
  <si>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</si>
  <si>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</si>
  <si>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</si>
  <si>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</si>
  <si>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</si>
  <si>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</si>
  <si>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</si>
  <si>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</si>
  <si>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</si>
  <si>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</si>
  <si>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</si>
  <si>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</si>
  <si>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</si>
  <si>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</si>
  <si>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</si>
  <si>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</si>
  <si>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</si>
  <si>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</si>
  <si>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</si>
  <si>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</si>
  <si>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</si>
  <si>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</si>
  <si>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</si>
  <si>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</si>
  <si>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</si>
  <si>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</si>
  <si>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</si>
  <si>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</si>
  <si>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</si>
  <si>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</si>
  <si>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</si>
  <si>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</si>
  <si>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</si>
  <si>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</si>
  <si>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</si>
  <si>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</si>
  <si>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</si>
  <si>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</si>
  <si>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</si>
  <si>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</si>
  <si>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</si>
  <si>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</si>
  <si>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</si>
  <si>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</si>
  <si>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</si>
  <si>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</si>
  <si>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</si>
  <si>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</si>
  <si>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</si>
  <si>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</si>
  <si>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</si>
  <si>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</si>
  <si>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</si>
  <si>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</si>
  <si>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</si>
  <si>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</si>
  <si>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</si>
  <si>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</si>
  <si>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</si>
  <si>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</si>
  <si>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</si>
  <si>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</si>
  <si>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</si>
  <si>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</si>
  <si>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</si>
  <si>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</si>
  <si>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</si>
  <si>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</si>
  <si>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</si>
  <si>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</si>
  <si>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</si>
  <si>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</si>
  <si>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</si>
  <si>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</si>
  <si>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</si>
  <si>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</si>
  <si>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</si>
  <si>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</si>
  <si>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</si>
  <si>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</si>
  <si>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</si>
  <si>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</si>
  <si>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</si>
  <si>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</si>
  <si>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</si>
  <si>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</si>
  <si>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</si>
  <si>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</si>
  <si>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</si>
  <si>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</si>
  <si>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</si>
  <si>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</si>
  <si>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</si>
  <si>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</si>
  <si>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</si>
  <si>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</si>
  <si>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</si>
  <si>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</si>
  <si>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</si>
  <si>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</si>
  <si>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</si>
  <si>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</si>
  <si>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</si>
  <si>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</si>
  <si>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</si>
  <si>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</si>
  <si>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</si>
  <si>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</si>
  <si>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</si>
  <si>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</si>
  <si>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</si>
  <si>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</si>
  <si>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</si>
  <si>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</si>
  <si>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</si>
  <si>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</si>
  <si>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</si>
  <si>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</si>
  <si>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</si>
  <si>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</si>
  <si>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</si>
  <si>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</si>
  <si>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</si>
  <si>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</si>
  <si>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</si>
  <si>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</si>
  <si>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</si>
  <si>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</si>
  <si>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</si>
  <si>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</si>
  <si>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</si>
  <si>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</si>
  <si>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</si>
  <si>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</si>
  <si>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</si>
  <si>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</si>
  <si>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</si>
  <si>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</si>
  <si>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</si>
  <si>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</si>
  <si>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</si>
  <si>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</si>
  <si>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</si>
  <si>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</si>
  <si>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</si>
  <si>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</si>
  <si>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</si>
  <si>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</si>
  <si>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</si>
  <si>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</si>
  <si>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</si>
  <si>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</si>
  <si>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</si>
  <si>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</si>
  <si>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</si>
  <si>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</si>
  <si>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</si>
  <si>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</si>
  <si>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</si>
  <si>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</si>
  <si>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</si>
  <si>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</si>
  <si>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</si>
  <si>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</si>
  <si>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</si>
  <si>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</si>
  <si>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</si>
  <si>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</si>
  <si>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</si>
  <si>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</si>
  <si>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</si>
  <si>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</si>
  <si>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</si>
  <si>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</si>
  <si>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</si>
  <si>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</si>
  <si>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</si>
  <si>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</si>
  <si>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</si>
  <si>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</si>
  <si>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</si>
  <si>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</si>
  <si>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</si>
  <si>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</si>
  <si>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</si>
  <si>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</si>
  <si>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</si>
  <si>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</si>
  <si>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</si>
  <si>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</si>
  <si>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</si>
  <si>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</si>
  <si>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</si>
  <si>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</si>
  <si>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</si>
  <si>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</si>
  <si>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</si>
  <si>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</si>
  <si>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</si>
  <si>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</si>
  <si>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</si>
  <si>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</si>
  <si>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</si>
  <si>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</si>
  <si>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</si>
  <si>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</si>
  <si>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</si>
  <si>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</si>
  <si>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</si>
  <si>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</si>
  <si>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</si>
  <si>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</si>
  <si>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</si>
  <si>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</si>
  <si>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</si>
  <si>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</si>
  <si>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</si>
  <si>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</si>
  <si>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</si>
  <si>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</si>
  <si>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</si>
  <si>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</si>
  <si>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</si>
  <si>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</si>
  <si>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</si>
  <si>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</si>
  <si>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</si>
  <si>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</si>
  <si>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</si>
  <si>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</si>
  <si>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</si>
  <si>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</si>
  <si>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</si>
  <si>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</si>
  <si>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</si>
  <si>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</si>
  <si>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</si>
  <si>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</si>
  <si>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</si>
  <si>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</si>
  <si>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</si>
  <si>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</si>
  <si>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</si>
  <si>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</si>
  <si>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</si>
  <si>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</si>
  <si>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</si>
  <si>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</si>
  <si>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</si>
  <si>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</si>
  <si>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</si>
  <si>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</si>
  <si>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</si>
  <si>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</si>
  <si>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</si>
  <si>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</si>
  <si>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</si>
  <si>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</si>
  <si>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</si>
  <si>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</si>
  <si>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</si>
  <si>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</si>
  <si>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</si>
  <si>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</si>
  <si>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</si>
  <si>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</si>
  <si>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</si>
  <si>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</si>
  <si>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</si>
  <si>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</si>
  <si>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</si>
  <si>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</si>
  <si>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</si>
  <si>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</si>
  <si>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</si>
  <si>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</si>
  <si>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</si>
  <si>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</si>
  <si>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</si>
  <si>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</si>
  <si>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</si>
  <si>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</si>
  <si>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</si>
  <si>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</si>
  <si>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</si>
  <si>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</si>
  <si>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</si>
  <si>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</si>
  <si>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</si>
  <si>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</si>
  <si>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</si>
  <si>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</si>
  <si>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</si>
  <si>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</si>
  <si>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</si>
  <si>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</si>
  <si>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</si>
  <si>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</si>
  <si>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</si>
  <si>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</si>
  <si>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</si>
  <si>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</si>
  <si>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</si>
  <si>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</si>
  <si>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</si>
  <si>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</si>
  <si>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</si>
  <si>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</si>
  <si>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</si>
  <si>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</si>
  <si>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</si>
  <si>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</si>
  <si>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</si>
  <si>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</si>
  <si>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</si>
  <si>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</si>
  <si>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</si>
  <si>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</si>
  <si>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</si>
  <si>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</si>
  <si>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</si>
  <si>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</si>
  <si>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</si>
  <si>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</si>
  <si>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</si>
  <si>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</si>
  <si>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</si>
  <si>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</si>
  <si>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</si>
  <si>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</si>
  <si>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</si>
  <si>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</si>
  <si>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</si>
  <si>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</si>
  <si>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</si>
  <si>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</si>
  <si>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</si>
  <si>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</si>
  <si>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</si>
  <si>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</si>
  <si>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</si>
  <si>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</si>
  <si>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</si>
  <si>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</si>
  <si>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</si>
  <si>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</si>
  <si>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</si>
  <si>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</si>
  <si>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</si>
  <si>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</si>
  <si>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</si>
  <si>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</si>
  <si>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</si>
  <si>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</si>
  <si>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</si>
  <si>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</si>
  <si>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</si>
  <si>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</si>
  <si>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</si>
  <si>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</si>
  <si>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</si>
  <si>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</si>
  <si>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</si>
  <si>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</si>
  <si>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</si>
  <si>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</si>
  <si>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</si>
  <si>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</si>
  <si>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</si>
  <si>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</si>
  <si>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</si>
  <si>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</si>
  <si>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</si>
  <si>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</si>
  <si>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</si>
  <si>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</si>
  <si>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</si>
  <si>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</si>
  <si>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</si>
  <si>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</si>
  <si>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</si>
  <si>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</si>
  <si>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</si>
  <si>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</si>
  <si>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</si>
  <si>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</si>
  <si>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</si>
  <si>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</si>
  <si>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</si>
  <si>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</si>
  <si>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</si>
  <si>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</si>
  <si>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</si>
  <si>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</si>
  <si>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</si>
  <si>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</si>
  <si>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</si>
  <si>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</si>
  <si>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</si>
  <si>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</si>
  <si>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</si>
  <si>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</si>
  <si>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</si>
  <si>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</si>
  <si>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</si>
  <si>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</si>
  <si>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</si>
  <si>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</si>
  <si>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</si>
  <si>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</si>
  <si>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</si>
  <si>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</si>
  <si>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</si>
  <si>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</si>
  <si>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</si>
  <si>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</si>
  <si>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</si>
  <si>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</si>
  <si>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</si>
  <si>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</si>
  <si>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</si>
  <si>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</si>
  <si>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</si>
  <si>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</si>
  <si>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</si>
  <si>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</si>
  <si>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</si>
  <si>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</si>
  <si>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</si>
  <si>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</si>
  <si>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</si>
  <si>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</si>
  <si>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</si>
  <si>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</si>
  <si>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</si>
  <si>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</si>
  <si>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</si>
  <si>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</si>
  <si>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</si>
  <si>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</si>
  <si>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</si>
  <si>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</si>
  <si>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</si>
  <si>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</si>
  <si>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</si>
  <si>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</si>
  <si>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</si>
  <si>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</si>
  <si>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</si>
  <si>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</si>
  <si>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</si>
  <si>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</si>
  <si>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</si>
  <si>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</si>
  <si>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</si>
  <si>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</si>
  <si>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</si>
  <si>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</si>
  <si>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</si>
  <si>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</si>
  <si>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</si>
  <si>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</si>
  <si>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</si>
  <si>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</si>
  <si>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</si>
  <si>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</si>
  <si>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</si>
  <si>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</si>
  <si>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</si>
  <si>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</si>
  <si>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</si>
  <si>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</si>
  <si>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</si>
  <si>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</si>
  <si>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</si>
  <si>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</si>
  <si>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</si>
  <si>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</si>
  <si>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</si>
  <si>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</si>
  <si>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</si>
  <si>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</si>
  <si>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</si>
  <si>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</si>
  <si>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</si>
  <si>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</si>
  <si>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</si>
  <si>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</si>
  <si>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</si>
  <si>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</si>
  <si>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</si>
  <si>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</si>
  <si>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</si>
  <si>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</si>
  <si>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</si>
  <si>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</si>
  <si>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</si>
  <si>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</si>
  <si>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</si>
  <si>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</si>
  <si>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</si>
  <si>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</si>
  <si>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</si>
  <si>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</si>
  <si>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</si>
  <si>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</si>
  <si>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</si>
  <si>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</si>
  <si>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</si>
  <si>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</si>
  <si>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</si>
  <si>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</si>
  <si>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</si>
  <si>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</si>
  <si>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</si>
  <si>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</si>
  <si>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</si>
  <si>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</si>
  <si>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</si>
  <si>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</si>
  <si>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</si>
  <si>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</si>
  <si>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</si>
  <si>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</si>
  <si>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</si>
  <si>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</si>
  <si>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</si>
  <si>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</si>
  <si>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</si>
  <si>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</si>
  <si>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</si>
  <si>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</si>
  <si>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</si>
  <si>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</si>
  <si>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</si>
  <si>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</si>
  <si>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</si>
  <si>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</si>
  <si>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</si>
  <si>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</si>
  <si>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</si>
  <si>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</si>
  <si>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</si>
  <si>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</si>
  <si>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</si>
  <si>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</si>
  <si>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</si>
  <si>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</si>
  <si>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</si>
  <si>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</si>
  <si>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</si>
  <si>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</si>
  <si>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</si>
  <si>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</si>
  <si>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</si>
  <si>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</si>
  <si>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</si>
  <si>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</si>
  <si>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</si>
  <si>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</si>
  <si>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</si>
  <si>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</si>
  <si>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</si>
  <si>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</si>
  <si>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</si>
  <si>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</si>
  <si>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</si>
  <si>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</si>
  <si>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</si>
  <si>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</si>
  <si>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</si>
  <si>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</si>
  <si>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</si>
  <si>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</si>
  <si>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</si>
  <si>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</si>
  <si>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</si>
  <si>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</si>
  <si>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</si>
  <si>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</si>
  <si>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</si>
  <si>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</si>
  <si>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</si>
  <si>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</si>
  <si>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</si>
  <si>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</si>
  <si>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</si>
  <si>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</si>
  <si>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</si>
  <si>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</si>
  <si>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</si>
  <si>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</si>
  <si>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</si>
  <si>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</si>
  <si>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</si>
  <si>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</si>
  <si>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</si>
  <si>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</si>
  <si>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</si>
  <si>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</si>
  <si>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</si>
  <si>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</si>
  <si>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</si>
  <si>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</si>
  <si>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</si>
  <si>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</si>
  <si>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</si>
  <si>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</si>
  <si>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</si>
  <si>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</si>
  <si>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</si>
  <si>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</si>
  <si>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</si>
  <si>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</si>
  <si>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</si>
  <si>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</si>
  <si>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</si>
  <si>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</si>
  <si>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</si>
  <si>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</si>
  <si>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</si>
  <si>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</si>
  <si>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</si>
  <si>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</si>
  <si>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</si>
  <si>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</si>
  <si>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</si>
  <si>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</si>
  <si>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</si>
  <si>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</si>
  <si>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</si>
  <si>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</si>
  <si>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</si>
  <si>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</si>
  <si>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</si>
  <si>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</si>
  <si>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</si>
  <si>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</si>
  <si>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</si>
  <si>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</si>
  <si>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</si>
  <si>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</si>
  <si>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</si>
  <si>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</si>
  <si>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</si>
  <si>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</si>
  <si>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</si>
  <si>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</si>
  <si>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</si>
  <si>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</si>
  <si>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</si>
  <si>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</si>
  <si>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</si>
  <si>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</si>
  <si>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</si>
  <si>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</si>
  <si>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</si>
  <si>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</si>
  <si>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</si>
  <si>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</si>
  <si>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</si>
  <si>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</si>
  <si>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</si>
  <si>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</si>
  <si>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</si>
  <si>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</si>
  <si>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</si>
  <si>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</si>
  <si>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</si>
  <si>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</si>
  <si>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</si>
  <si>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</si>
  <si>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</si>
  <si>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</si>
  <si>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</si>
  <si>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</si>
  <si>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</si>
  <si>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</si>
  <si>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</si>
  <si>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</si>
  <si>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</si>
  <si>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</si>
  <si>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</si>
  <si>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</si>
  <si>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</si>
  <si>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</si>
  <si>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</si>
  <si>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</si>
  <si>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</si>
  <si>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</si>
  <si>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</si>
  <si>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</si>
  <si>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</si>
  <si>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</si>
  <si>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</si>
  <si>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</si>
  <si>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</si>
  <si>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</si>
  <si>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</si>
  <si>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</si>
  <si>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</si>
  <si>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</si>
  <si>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</si>
  <si>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</si>
  <si>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</si>
  <si>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</si>
  <si>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</si>
  <si>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</si>
  <si>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</si>
  <si>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</si>
  <si>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</si>
  <si>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</si>
  <si>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</si>
  <si>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</si>
  <si>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</si>
  <si>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</si>
  <si>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</si>
  <si>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</si>
  <si>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</si>
  <si>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</si>
  <si>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</si>
  <si>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</si>
  <si>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</si>
  <si>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</si>
  <si>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</si>
  <si>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</si>
  <si>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</si>
  <si>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</si>
  <si>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</si>
  <si>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</si>
  <si>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</si>
  <si>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</si>
  <si>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</si>
  <si>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</si>
  <si>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</si>
  <si>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</si>
  <si>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</si>
  <si>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</si>
  <si>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</si>
  <si>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</si>
  <si>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</si>
  <si>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</si>
  <si>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</si>
  <si>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</si>
  <si>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</si>
  <si>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</si>
  <si>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</si>
  <si>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</si>
  <si>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</si>
  <si>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</si>
  <si>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</si>
  <si>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</si>
  <si>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</si>
  <si>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</si>
  <si>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</si>
  <si>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</si>
  <si>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</si>
  <si>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</si>
  <si>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</si>
  <si>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</si>
  <si>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</si>
  <si>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</si>
  <si>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</si>
  <si>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</si>
  <si>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</si>
  <si>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</si>
  <si>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</si>
  <si>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</si>
  <si>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</si>
  <si>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</si>
  <si>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</si>
  <si>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</si>
  <si>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</si>
  <si>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</si>
  <si>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</si>
  <si>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</si>
  <si>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</si>
  <si>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</si>
  <si>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</si>
  <si>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</si>
  <si>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</si>
  <si>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</si>
  <si>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</si>
  <si>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</si>
  <si>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</si>
  <si>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</si>
  <si>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</si>
  <si>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</si>
  <si>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</si>
  <si>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</si>
  <si>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</si>
  <si>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</si>
  <si>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</si>
  <si>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</si>
  <si>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</si>
  <si>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</si>
  <si>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</si>
  <si>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</si>
  <si>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</si>
  <si>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</si>
  <si>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</si>
  <si>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</si>
  <si>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</si>
  <si>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</si>
  <si>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</si>
  <si>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</si>
  <si>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</si>
  <si>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</si>
  <si>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</si>
  <si>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</si>
  <si>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</si>
  <si>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</si>
  <si>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</si>
  <si>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</si>
  <si>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</si>
  <si>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</si>
  <si>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</si>
  <si>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</si>
  <si>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</si>
  <si>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</si>
  <si>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</si>
  <si>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</si>
  <si>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</si>
  <si>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</si>
  <si>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</si>
  <si>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</si>
  <si>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</si>
  <si>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</si>
  <si>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</si>
  <si>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</si>
  <si>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</si>
  <si>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</si>
  <si>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</si>
  <si>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</si>
  <si>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</si>
  <si>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</si>
  <si>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</si>
  <si>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</si>
  <si>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</si>
  <si>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</si>
  <si>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</si>
  <si>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</si>
  <si>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</si>
  <si>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</si>
  <si>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</si>
  <si>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</si>
  <si>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</si>
  <si>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</si>
  <si>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</si>
  <si>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</si>
  <si>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</si>
  <si>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</si>
  <si>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</si>
  <si>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</si>
  <si>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</si>
  <si>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</si>
  <si>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</si>
  <si>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</si>
  <si>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</si>
  <si>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</si>
  <si>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</si>
  <si>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</si>
  <si>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</si>
  <si>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</si>
  <si>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</si>
  <si>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</si>
  <si>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</si>
  <si>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</si>
  <si>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</si>
  <si>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</si>
  <si>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</si>
  <si>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</si>
  <si>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</si>
  <si>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</si>
  <si>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</si>
  <si>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</si>
  <si>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</si>
  <si>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</si>
  <si>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</si>
  <si>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</si>
  <si>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</si>
  <si>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</si>
  <si>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</si>
  <si>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</si>
  <si>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</si>
  <si>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</si>
  <si>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</si>
  <si>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</si>
  <si>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</si>
  <si>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</si>
  <si>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</si>
  <si>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</si>
  <si>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</si>
  <si>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</si>
  <si>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</si>
  <si>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</si>
  <si>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</si>
  <si>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</si>
  <si>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</si>
  <si>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</si>
  <si>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</si>
  <si>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</si>
  <si>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</si>
  <si>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</si>
  <si>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</si>
  <si>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</si>
  <si>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</si>
  <si>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</si>
  <si>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</si>
  <si>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</si>
  <si>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</si>
  <si>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</si>
  <si>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</si>
  <si>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</si>
  <si>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</si>
  <si>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</si>
  <si>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</si>
  <si>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</si>
  <si>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</si>
  <si>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</si>
  <si>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</si>
  <si>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</si>
  <si>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</si>
  <si>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</si>
  <si>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</si>
  <si>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</si>
  <si>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</si>
  <si>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</si>
  <si>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</si>
  <si>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</si>
  <si>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</si>
  <si>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</si>
  <si>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</si>
  <si>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</si>
  <si>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</si>
  <si>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</si>
  <si>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</si>
  <si>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</si>
  <si>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</si>
  <si>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</si>
  <si>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</si>
  <si>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</si>
  <si>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</si>
  <si>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</si>
  <si>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</si>
  <si>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</si>
  <si>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</si>
  <si>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</si>
  <si>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</si>
  <si>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</si>
  <si>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</si>
  <si>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</si>
  <si>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</si>
  <si>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</si>
  <si>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</si>
  <si>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</si>
  <si>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</si>
  <si>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</si>
  <si>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</si>
  <si>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</si>
  <si>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</si>
  <si>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</si>
  <si>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</si>
  <si>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</si>
  <si>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</si>
  <si>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</si>
  <si>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</si>
  <si>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</si>
  <si>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</si>
  <si>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</si>
  <si>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</si>
  <si>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</si>
  <si>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</si>
  <si>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</si>
  <si>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</si>
  <si>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</si>
  <si>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</si>
  <si>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</si>
  <si>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</si>
  <si>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</si>
  <si>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</si>
  <si>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</si>
  <si>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</si>
  <si>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</si>
  <si>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</si>
  <si>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</si>
  <si>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</si>
  <si>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</si>
  <si>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</si>
  <si>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</si>
  <si>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</si>
  <si>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</si>
  <si>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</si>
  <si>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</si>
  <si>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</si>
  <si>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</si>
  <si>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</si>
  <si>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</si>
  <si>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</si>
  <si>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</si>
  <si>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</si>
  <si>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</si>
  <si>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</si>
  <si>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</si>
  <si>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</si>
  <si>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</si>
  <si>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</si>
  <si>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</si>
  <si>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</si>
  <si>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</si>
  <si>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</si>
  <si>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</si>
  <si>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</si>
  <si>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</si>
  <si>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</si>
  <si>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</si>
  <si>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</si>
  <si>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</si>
  <si>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</si>
  <si>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</si>
  <si>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</si>
  <si>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</si>
  <si>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</si>
  <si>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</si>
  <si>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</si>
  <si>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</si>
  <si>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</si>
  <si>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</si>
  <si>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</si>
  <si>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</si>
  <si>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</si>
  <si>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</si>
  <si>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</si>
  <si>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</si>
  <si>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</si>
  <si>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</si>
  <si>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</si>
  <si>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</si>
  <si>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</si>
  <si>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</si>
  <si>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</si>
  <si>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</si>
  <si>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</si>
  <si>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</si>
  <si>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</si>
  <si>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</si>
  <si>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</si>
  <si>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</si>
  <si>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</si>
  <si>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</si>
  <si>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</si>
  <si>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</si>
  <si>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</si>
  <si>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</si>
  <si>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</si>
  <si>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</si>
  <si>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</si>
  <si>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</si>
  <si>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</si>
  <si>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</si>
  <si>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</si>
  <si>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</si>
  <si>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</si>
  <si>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</si>
  <si>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</si>
  <si>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</si>
  <si>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</si>
  <si>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</si>
  <si>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</si>
  <si>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</si>
  <si>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</si>
  <si>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</si>
  <si>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</si>
  <si>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</si>
  <si>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</si>
  <si>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</si>
  <si>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</si>
  <si>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</si>
  <si>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</si>
  <si>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</si>
  <si>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</si>
  <si>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</si>
  <si>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</si>
  <si>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</si>
  <si>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</si>
  <si>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</si>
  <si>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</si>
  <si>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</si>
  <si>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</si>
  <si>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</si>
  <si>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</si>
  <si>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</si>
  <si>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</si>
  <si>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</si>
  <si>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</si>
  <si>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</si>
  <si>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</si>
  <si>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</si>
  <si>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</si>
  <si>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</si>
  <si>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</si>
  <si>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</si>
  <si>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</si>
  <si>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</si>
  <si>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</si>
  <si>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</si>
  <si>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</si>
  <si>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</si>
  <si>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</si>
  <si>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</si>
  <si>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</si>
  <si>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</si>
  <si>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</si>
  <si>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</si>
  <si>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</si>
  <si>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</si>
  <si>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</si>
  <si>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</si>
  <si>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</si>
  <si>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</si>
  <si>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</si>
  <si>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</si>
  <si>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</si>
  <si>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</si>
  <si>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</si>
  <si>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</si>
  <si>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</si>
  <si>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</si>
  <si>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</si>
  <si>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</si>
  <si>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</si>
  <si>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</si>
  <si>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</si>
  <si>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</si>
  <si>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</si>
  <si>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</si>
  <si>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</si>
  <si>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</si>
  <si>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</si>
  <si>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</si>
  <si>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</si>
  <si>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</si>
  <si>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</si>
  <si>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</si>
  <si>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</si>
  <si>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</si>
  <si>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</si>
  <si>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</si>
  <si>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</si>
  <si>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</si>
  <si>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</si>
  <si>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</si>
  <si>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</si>
  <si>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</si>
  <si>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</si>
  <si>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</si>
  <si>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</si>
  <si>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</si>
  <si>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</si>
  <si>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</si>
  <si>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</si>
  <si>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</si>
  <si>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</si>
  <si>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</si>
  <si>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</si>
  <si>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</si>
  <si>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</si>
  <si>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</si>
  <si>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</si>
  <si>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</si>
  <si>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</si>
  <si>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</si>
  <si>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</si>
  <si>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</si>
  <si>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</si>
  <si>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</si>
  <si>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</si>
  <si>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</si>
  <si>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</si>
  <si>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</si>
  <si>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</si>
  <si>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</si>
  <si>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</si>
  <si>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</si>
  <si>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</si>
  <si>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</si>
  <si>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</si>
  <si>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</si>
  <si>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</si>
  <si>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</si>
  <si>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</si>
  <si>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</si>
  <si>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</si>
  <si>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</si>
  <si>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</si>
  <si>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</si>
  <si>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</si>
  <si>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</si>
  <si>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</si>
  <si>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</si>
  <si>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</si>
  <si>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</si>
  <si>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</si>
  <si>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</si>
  <si>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</si>
  <si>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</si>
  <si>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</si>
  <si>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</si>
  <si>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</si>
  <si>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</si>
  <si>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</si>
  <si>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</si>
  <si>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</si>
  <si>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</si>
  <si>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</si>
  <si>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</si>
  <si>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</si>
  <si>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</si>
  <si>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</si>
  <si>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</si>
  <si>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</si>
  <si>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</si>
  <si>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</si>
  <si>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</si>
  <si>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</si>
  <si>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</si>
  <si>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</si>
  <si>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</si>
  <si>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</si>
  <si>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</si>
  <si>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</si>
  <si>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</si>
  <si>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</si>
  <si>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</si>
  <si>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</si>
  <si>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</si>
  <si>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</si>
  <si>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</si>
  <si>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</si>
  <si>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</si>
  <si>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</si>
  <si>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</si>
  <si>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</si>
  <si>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</si>
  <si>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</si>
  <si>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</si>
  <si>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</si>
  <si>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</si>
  <si>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</si>
  <si>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</si>
  <si>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</si>
  <si>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</si>
  <si>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</si>
  <si>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</si>
  <si>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</si>
  <si>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</si>
  <si>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</si>
  <si>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</si>
  <si>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</si>
  <si>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</si>
  <si>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</si>
  <si>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</si>
  <si>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</si>
  <si>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</si>
  <si>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</si>
  <si>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</si>
  <si>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</si>
  <si>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</si>
  <si>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</si>
  <si>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</si>
  <si>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</si>
  <si>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</si>
  <si>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</si>
  <si>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</si>
  <si>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</si>
  <si>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</si>
  <si>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</si>
  <si>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</si>
  <si>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</si>
  <si>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</si>
  <si>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</si>
  <si>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</si>
  <si>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</si>
  <si>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</si>
  <si>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</si>
  <si>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</si>
  <si>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</si>
  <si>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</si>
  <si>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</si>
  <si>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</si>
  <si>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</si>
  <si>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</si>
  <si>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</si>
  <si>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</si>
  <si>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</si>
  <si>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</si>
  <si>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</si>
  <si>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</si>
  <si>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</si>
  <si>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</si>
  <si>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</si>
  <si>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</si>
  <si>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</si>
  <si>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</si>
  <si>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</si>
  <si>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</si>
  <si>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</si>
  <si>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</si>
  <si>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</si>
  <si>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</si>
  <si>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</si>
  <si>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</si>
  <si>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</si>
  <si>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</si>
  <si>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</si>
  <si>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</si>
  <si>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</si>
  <si>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</si>
  <si>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</si>
  <si>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</si>
  <si>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</si>
  <si>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</si>
  <si>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</si>
  <si>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</si>
  <si>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</si>
  <si>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</si>
  <si>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</si>
  <si>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</si>
  <si>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</si>
  <si>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</si>
  <si>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</si>
  <si>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</si>
  <si>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</si>
  <si>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</si>
  <si>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</si>
  <si>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</si>
  <si>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</si>
  <si>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</si>
  <si>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</si>
  <si>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</si>
  <si>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</si>
  <si>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</si>
  <si>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</si>
  <si>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</si>
  <si>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</si>
  <si>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</si>
  <si>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</si>
  <si>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</si>
  <si>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</si>
  <si>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</si>
  <si>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</si>
  <si>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</si>
  <si>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</si>
  <si>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</si>
  <si>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</si>
  <si>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</si>
  <si>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</si>
  <si>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</si>
  <si>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</si>
  <si>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</si>
  <si>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</si>
  <si>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</si>
  <si>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</si>
  <si>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</si>
  <si>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</si>
  <si>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</si>
  <si>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</si>
  <si>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</si>
  <si>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</si>
  <si>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</si>
  <si>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</si>
  <si>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</si>
  <si>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</si>
  <si>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</si>
  <si>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</si>
  <si>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</si>
  <si>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</si>
  <si>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</si>
  <si>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</si>
  <si>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</si>
  <si>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</si>
  <si>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</si>
  <si>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</si>
  <si>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</si>
  <si>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</si>
  <si>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</si>
  <si>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</si>
  <si>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</si>
  <si>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</si>
  <si>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</si>
  <si>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</si>
  <si>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</si>
  <si>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</si>
  <si>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</si>
  <si>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</si>
  <si>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</si>
  <si>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</si>
  <si>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</si>
  <si>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</si>
  <si>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</si>
  <si>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</si>
  <si>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</si>
  <si>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</si>
  <si>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</si>
  <si>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</si>
  <si>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</si>
  <si>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</si>
  <si>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</si>
  <si>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</si>
  <si>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</si>
  <si>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</si>
  <si>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</si>
  <si>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</si>
  <si>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</si>
  <si>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</si>
  <si>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</si>
  <si>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</si>
  <si>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</si>
  <si>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</si>
  <si>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</si>
  <si>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</si>
  <si>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</si>
  <si>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</si>
  <si>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</si>
  <si>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</si>
  <si>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</si>
  <si>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</si>
  <si>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</si>
  <si>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</si>
  <si>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</si>
  <si>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</si>
  <si>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</si>
  <si>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</si>
  <si>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</si>
  <si>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</si>
  <si>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</si>
  <si>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</si>
  <si>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</si>
  <si>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</si>
  <si>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</si>
  <si>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</si>
  <si>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</si>
  <si>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</si>
  <si>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</si>
  <si>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</si>
  <si>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</si>
  <si>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</si>
  <si>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</si>
  <si>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</si>
  <si>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</si>
  <si>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</si>
  <si>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</si>
  <si>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</si>
  <si>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</si>
  <si>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</si>
  <si>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</si>
  <si>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</si>
  <si>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</si>
  <si>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</si>
  <si>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</si>
  <si>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</si>
  <si>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</si>
  <si>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</si>
  <si>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</si>
  <si>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</si>
  <si>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</si>
  <si>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</si>
  <si>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</si>
  <si>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</si>
  <si>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</si>
  <si>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</si>
  <si>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</si>
  <si>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</si>
  <si>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</si>
  <si>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</si>
  <si>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</si>
  <si>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</si>
  <si>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</si>
  <si>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</si>
  <si>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</si>
  <si>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</si>
  <si>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</si>
  <si>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</si>
  <si>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</si>
  <si>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</si>
  <si>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</si>
  <si>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</si>
  <si>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</si>
  <si>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</si>
  <si>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</si>
  <si>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</si>
  <si>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</si>
  <si>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</si>
  <si>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</si>
  <si>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</si>
  <si>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</si>
  <si>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</si>
  <si>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</si>
  <si>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</si>
  <si>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</si>
  <si>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</si>
  <si>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</si>
  <si>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</si>
  <si>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</si>
  <si>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</si>
  <si>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</si>
  <si>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</si>
  <si>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</si>
  <si>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</si>
  <si>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</si>
  <si>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</si>
  <si>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</si>
  <si>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</si>
  <si>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</si>
  <si>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</si>
  <si>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</si>
  <si>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</si>
  <si>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</si>
  <si>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</si>
  <si>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</si>
  <si>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</si>
  <si>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</si>
  <si>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</si>
  <si>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</si>
  <si>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</si>
  <si>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</si>
  <si>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</si>
  <si>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</si>
  <si>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</si>
  <si>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</si>
  <si>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</si>
  <si>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</si>
  <si>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</si>
  <si>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</si>
  <si>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</si>
  <si>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</si>
  <si>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</si>
  <si>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</si>
  <si>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</si>
  <si>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</si>
  <si>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</si>
  <si>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</si>
  <si>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</si>
  <si>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</si>
  <si>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</si>
  <si>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</si>
  <si>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</si>
  <si>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</si>
  <si>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</si>
  <si>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</si>
  <si>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</si>
  <si>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</si>
  <si>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</si>
  <si>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</si>
  <si>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</si>
  <si>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</si>
  <si>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</si>
  <si>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</si>
  <si>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</si>
  <si>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</si>
  <si>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</si>
  <si>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</si>
  <si>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</si>
  <si>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</si>
  <si>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</si>
  <si>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</si>
  <si>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</si>
  <si>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</si>
  <si>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</si>
  <si>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</si>
  <si>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</si>
  <si>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</si>
  <si>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</si>
  <si>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</si>
  <si>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</si>
  <si>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</si>
  <si>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</si>
  <si>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</si>
  <si>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</si>
  <si>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</si>
  <si>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</si>
  <si>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</si>
  <si>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</si>
  <si>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</si>
  <si>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</si>
  <si>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</si>
  <si>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</si>
  <si>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</si>
  <si>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</si>
  <si>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</si>
  <si>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</si>
  <si>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</si>
  <si>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</si>
  <si>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</si>
  <si>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</si>
  <si>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</si>
  <si>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</si>
  <si>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</si>
  <si>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</si>
  <si>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</si>
  <si>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</si>
  <si>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</si>
  <si>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</si>
  <si>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</si>
  <si>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</si>
  <si>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</si>
  <si>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</si>
  <si>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</si>
  <si>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</si>
  <si>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</si>
  <si>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</si>
  <si>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</si>
  <si>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</si>
  <si>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</si>
  <si>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</si>
  <si>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</si>
  <si>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</si>
  <si>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</si>
  <si>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</si>
  <si>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</si>
  <si>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</si>
  <si>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</si>
  <si>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</si>
  <si>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</si>
  <si>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</si>
  <si>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</si>
  <si>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</si>
  <si>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</si>
  <si>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</si>
  <si>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</si>
  <si>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</si>
  <si>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</si>
  <si>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</si>
  <si>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</si>
  <si>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</si>
  <si>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</si>
  <si>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</si>
  <si>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</si>
  <si>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</si>
  <si>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</si>
  <si>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</si>
  <si>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</si>
  <si>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</si>
  <si>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</si>
  <si>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</si>
  <si>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</si>
  <si>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</si>
  <si>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</si>
  <si>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</si>
  <si>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</si>
  <si>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</si>
  <si>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</si>
  <si>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</si>
  <si>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</si>
  <si>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</si>
  <si>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</si>
  <si>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</si>
  <si>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</si>
  <si>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</si>
  <si>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</si>
  <si>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</si>
  <si>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</si>
  <si>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</si>
  <si>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</si>
  <si>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</si>
  <si>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</si>
  <si>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</si>
  <si>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</si>
  <si>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</si>
  <si>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</si>
  <si>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</si>
  <si>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</si>
  <si>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</si>
  <si>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</si>
  <si>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</si>
  <si>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</si>
  <si>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</si>
  <si>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</si>
  <si>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</si>
  <si>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</si>
  <si>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</si>
  <si>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</si>
  <si>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</si>
  <si>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</si>
  <si>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</si>
  <si>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</si>
  <si>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</si>
  <si>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</si>
  <si>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</si>
  <si>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</si>
  <si>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</si>
  <si>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</si>
  <si>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</si>
  <si>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</si>
  <si>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</si>
  <si>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</si>
  <si>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</si>
  <si>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</si>
  <si>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</si>
  <si>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</si>
  <si>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</si>
  <si>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</si>
  <si>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</si>
  <si>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</si>
  <si>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</si>
  <si>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</si>
  <si>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</si>
  <si>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</si>
  <si>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</si>
  <si>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</si>
  <si>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</si>
  <si>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</si>
  <si>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</si>
  <si>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</si>
  <si>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</si>
  <si>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</si>
  <si>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</si>
  <si>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</si>
  <si>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</si>
  <si>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</si>
  <si>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</si>
  <si>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</si>
  <si>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</si>
  <si>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</si>
  <si>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</si>
  <si>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</si>
  <si>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</si>
  <si>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</si>
  <si>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</si>
  <si>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</si>
  <si>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</si>
  <si>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</si>
  <si>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</si>
  <si>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</si>
  <si>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</si>
  <si>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</si>
  <si>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</si>
  <si>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</si>
  <si>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</si>
  <si>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</si>
  <si>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</si>
  <si>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</si>
  <si>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</si>
  <si>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</si>
  <si>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</si>
  <si>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</si>
  <si>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</si>
  <si>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</si>
  <si>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</si>
  <si>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</si>
  <si>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</si>
  <si>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</si>
  <si>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</si>
  <si>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</si>
  <si>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</si>
  <si>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</si>
  <si>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</si>
  <si>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</si>
  <si>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</si>
  <si>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</si>
  <si>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</si>
  <si>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</si>
  <si>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</si>
  <si>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</si>
  <si>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</si>
  <si>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</si>
  <si>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</si>
  <si>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</si>
  <si>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</si>
  <si>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</si>
  <si>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</si>
  <si>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</si>
  <si>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</si>
  <si>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</si>
  <si>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</si>
  <si>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</si>
  <si>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</si>
  <si>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</si>
  <si>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</si>
  <si>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</si>
  <si>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</si>
  <si>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</si>
  <si>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</si>
  <si>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</si>
  <si>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</si>
  <si>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</si>
  <si>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</si>
  <si>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</si>
  <si>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</si>
  <si>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</si>
  <si>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</si>
  <si>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</si>
  <si>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</si>
  <si>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</si>
  <si>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</si>
  <si>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</si>
  <si>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</si>
  <si>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</si>
  <si>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</si>
  <si>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</si>
  <si>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</si>
  <si>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</si>
  <si>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</si>
  <si>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</si>
  <si>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</si>
  <si>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</si>
  <si>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</si>
  <si>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</si>
  <si>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</si>
  <si>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</si>
  <si>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</si>
  <si>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</si>
  <si>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</si>
  <si>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</si>
  <si>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</si>
  <si>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</si>
  <si>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</si>
  <si>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</si>
  <si>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</si>
  <si>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</si>
  <si>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</si>
  <si>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</si>
  <si>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</si>
  <si>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</si>
  <si>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</si>
  <si>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</si>
  <si>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</si>
  <si>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</si>
  <si>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</si>
  <si>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</si>
  <si>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</si>
  <si>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</si>
  <si>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</si>
  <si>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</si>
  <si>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</si>
  <si>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</si>
  <si>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</si>
  <si>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</si>
  <si>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</si>
  <si>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</si>
  <si>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</si>
  <si>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</si>
  <si>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</si>
  <si>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</si>
  <si>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</si>
  <si>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</si>
  <si>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</si>
  <si>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</si>
  <si>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</si>
  <si>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</si>
  <si>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</si>
  <si>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</si>
  <si>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</si>
  <si>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</si>
  <si>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</si>
  <si>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</si>
  <si>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</si>
  <si>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</si>
  <si>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</si>
  <si>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</si>
  <si>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</si>
  <si>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</si>
  <si>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</si>
  <si>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</si>
  <si>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</si>
  <si>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</si>
  <si>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</si>
  <si>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</si>
  <si>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</si>
  <si>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</si>
  <si>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</si>
  <si>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</si>
  <si>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</si>
  <si>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</si>
  <si>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</si>
  <si>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</si>
  <si>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</si>
  <si>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</si>
  <si>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</si>
  <si>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</si>
  <si>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</si>
  <si>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</si>
  <si>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</si>
  <si>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</si>
  <si>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</si>
  <si>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</si>
  <si>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</si>
  <si>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</si>
  <si>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</si>
  <si>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</si>
  <si>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</si>
  <si>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</si>
  <si>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</si>
  <si>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</si>
  <si>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</si>
  <si>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</si>
  <si>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</si>
  <si>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</si>
  <si>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</si>
  <si>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</si>
  <si>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</si>
  <si>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</si>
  <si>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</si>
  <si>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</si>
  <si>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</si>
  <si>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</si>
  <si>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</si>
  <si>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</si>
  <si>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</si>
  <si>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</si>
  <si>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</si>
  <si>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</si>
  <si>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</si>
  <si>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</si>
  <si>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</si>
  <si>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</si>
  <si>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</si>
  <si>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</si>
  <si>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</si>
  <si>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</si>
  <si>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</si>
  <si>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</si>
  <si>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</si>
  <si>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</si>
  <si>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</si>
  <si>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</si>
  <si>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</si>
  <si>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</si>
  <si>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</si>
  <si>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</si>
  <si>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</si>
  <si>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</si>
  <si>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</si>
  <si>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</si>
  <si>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</si>
  <si>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</si>
  <si>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</si>
  <si>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</si>
  <si>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</si>
  <si>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</si>
  <si>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</si>
  <si>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</si>
  <si>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</si>
  <si>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</si>
  <si>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</si>
  <si>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</si>
  <si>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</si>
  <si>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</si>
  <si>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</si>
  <si>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</si>
  <si>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</si>
  <si>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</si>
  <si>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</si>
  <si>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</si>
  <si>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</si>
  <si>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</si>
  <si>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</si>
  <si>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</si>
  <si>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</si>
  <si>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</si>
  <si>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</si>
  <si>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</si>
  <si>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</si>
  <si>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</si>
  <si>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</si>
  <si>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</si>
  <si>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</si>
  <si>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</si>
  <si>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</si>
  <si>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</si>
  <si>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</si>
  <si>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</si>
  <si>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</si>
  <si>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</si>
  <si>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</si>
  <si>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</si>
  <si>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</si>
  <si>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</si>
  <si>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</si>
  <si>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</si>
  <si>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</si>
  <si>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</si>
  <si>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</si>
  <si>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</si>
  <si>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</si>
  <si>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</si>
  <si>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</si>
  <si>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</si>
  <si>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</si>
  <si>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</si>
  <si>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</si>
  <si>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</si>
  <si>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</si>
  <si>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</si>
  <si>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</si>
  <si>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</si>
  <si>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</si>
  <si>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</si>
  <si>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</si>
  <si>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</si>
  <si>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</si>
  <si>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</si>
  <si>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</si>
  <si>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</si>
  <si>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</si>
  <si>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</si>
  <si>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</si>
  <si>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</si>
  <si>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</si>
  <si>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</si>
  <si>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</si>
  <si>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</si>
  <si>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</si>
  <si>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</si>
  <si>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</si>
  <si>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</si>
  <si>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</si>
  <si>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</si>
  <si>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</si>
  <si>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</si>
  <si>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</si>
  <si>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</si>
  <si>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</si>
  <si>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</si>
  <si>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</si>
  <si>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</si>
  <si>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</si>
  <si>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</si>
  <si>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</si>
  <si>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</si>
  <si>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</si>
  <si>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</si>
  <si>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</si>
  <si>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</si>
  <si>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</si>
  <si>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</si>
  <si>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</si>
  <si>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</si>
  <si>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</si>
  <si>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</si>
  <si>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</si>
  <si>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</si>
  <si>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</si>
  <si>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</si>
  <si>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</si>
  <si>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</si>
  <si>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</si>
  <si>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</si>
  <si>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</si>
  <si>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</si>
  <si>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</si>
  <si>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</si>
  <si>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</si>
  <si>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</si>
  <si>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</si>
  <si>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</si>
  <si>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</si>
  <si>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</si>
  <si>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</si>
  <si>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</si>
  <si>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</si>
  <si>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</si>
  <si>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</si>
  <si>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</si>
  <si>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</si>
  <si>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</si>
  <si>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</si>
  <si>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</si>
  <si>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</si>
  <si>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</si>
  <si>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</si>
  <si>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</si>
  <si>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</si>
  <si>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</si>
  <si>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</si>
  <si>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</si>
  <si>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</si>
  <si>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</si>
  <si>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</si>
  <si>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</si>
  <si>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</si>
  <si>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</si>
  <si>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</si>
  <si>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</si>
  <si>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</si>
  <si>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</si>
  <si>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</si>
  <si>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</si>
  <si>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</si>
  <si>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</si>
  <si>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</si>
  <si>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</si>
  <si>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</si>
  <si>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</si>
  <si>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</si>
  <si>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</si>
  <si>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</si>
  <si>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</si>
  <si>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</si>
  <si>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</si>
  <si>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</si>
  <si>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</si>
  <si>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</si>
  <si>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</si>
  <si>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</si>
  <si>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</si>
  <si>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</si>
  <si>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</si>
  <si>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</si>
  <si>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</si>
  <si>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</si>
  <si>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</si>
  <si>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</si>
  <si>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</si>
  <si>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</si>
  <si>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</si>
  <si>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</si>
  <si>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</si>
  <si>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</si>
  <si>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</si>
  <si>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</si>
  <si>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</si>
  <si>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</si>
  <si>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</si>
  <si>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</si>
  <si>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</si>
  <si>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</si>
  <si>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</si>
  <si>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</si>
  <si>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</si>
  <si>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</si>
  <si>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</si>
  <si>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</si>
  <si>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</si>
  <si>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</si>
  <si>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</si>
  <si>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</si>
  <si>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</si>
  <si>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</si>
  <si>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</si>
  <si>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</si>
  <si>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</si>
  <si>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</si>
  <si>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</si>
  <si>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</si>
  <si>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</si>
  <si>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</si>
  <si>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</si>
  <si>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</si>
  <si>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</si>
  <si>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</si>
  <si>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</si>
  <si>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</si>
  <si>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</si>
  <si>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</si>
  <si>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</si>
  <si>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</si>
  <si>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</si>
  <si>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</si>
  <si>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</si>
  <si>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</si>
  <si>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</si>
  <si>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</si>
  <si>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</si>
  <si>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</si>
  <si>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</si>
  <si>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</si>
  <si>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</si>
  <si>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</si>
  <si>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</si>
  <si>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</si>
  <si>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</si>
  <si>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</si>
  <si>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</si>
  <si>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</si>
  <si>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</si>
  <si>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</si>
  <si>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</si>
  <si>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</si>
  <si>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</si>
  <si>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</si>
  <si>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</si>
  <si>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</si>
  <si>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</si>
  <si>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</si>
  <si>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</si>
  <si>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</si>
  <si>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</si>
  <si>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</si>
  <si>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</si>
  <si>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</si>
  <si>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</si>
  <si>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</si>
  <si>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</si>
  <si>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</si>
  <si>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</si>
  <si>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</si>
  <si>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</si>
  <si>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</si>
  <si>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</si>
  <si>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</si>
  <si>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</si>
  <si>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</si>
  <si>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</si>
  <si>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</si>
  <si>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</si>
  <si>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</si>
  <si>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</si>
  <si>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</si>
  <si>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</si>
  <si>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</si>
  <si>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</si>
  <si>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</si>
  <si>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</si>
  <si>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</si>
  <si>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</si>
  <si>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</si>
  <si>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</si>
  <si>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</si>
  <si>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</si>
  <si>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</si>
  <si>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</si>
  <si>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</si>
  <si>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</si>
  <si>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</si>
  <si>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</si>
  <si>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</si>
  <si>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</si>
  <si>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</si>
  <si>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</si>
  <si>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</si>
  <si>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</si>
  <si>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</si>
  <si>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</si>
  <si>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</si>
  <si>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</si>
  <si>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</si>
  <si>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</si>
  <si>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</si>
  <si>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</si>
  <si>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</si>
  <si>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</si>
  <si>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</si>
  <si>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</si>
  <si>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</si>
  <si>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</si>
  <si>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</si>
  <si>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</si>
  <si>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</si>
  <si>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</si>
  <si>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</si>
  <si>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</si>
  <si>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</si>
  <si>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</si>
  <si>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</si>
  <si>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</si>
  <si>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</si>
  <si>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</si>
  <si>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</si>
  <si>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</si>
  <si>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</si>
  <si>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</si>
  <si>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</si>
  <si>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</si>
  <si>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</si>
  <si>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</si>
  <si>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</si>
  <si>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</si>
  <si>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</si>
  <si>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</si>
  <si>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</si>
  <si>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</si>
  <si>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</si>
  <si>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</si>
  <si>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</si>
  <si>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</si>
  <si>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</si>
  <si>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</si>
  <si>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</si>
  <si>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</si>
  <si>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</si>
  <si>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</si>
  <si>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</si>
  <si>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</si>
  <si>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</si>
  <si>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</si>
  <si>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</si>
  <si>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</si>
  <si>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</si>
  <si>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</si>
  <si>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</si>
  <si>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</si>
  <si>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</si>
  <si>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</si>
  <si>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</si>
  <si>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</si>
  <si>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</si>
  <si>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</si>
  <si>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</si>
  <si>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</si>
  <si>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</si>
  <si>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</si>
  <si>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</si>
  <si>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</si>
  <si>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</si>
  <si>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</si>
  <si>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</si>
  <si>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</si>
  <si>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</si>
  <si>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</si>
  <si>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</si>
  <si>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</si>
  <si>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</si>
  <si>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</si>
  <si>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</si>
  <si>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</si>
  <si>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</si>
  <si>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</si>
  <si>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</si>
  <si>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</si>
  <si>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</si>
  <si>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</si>
  <si>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</si>
  <si>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</si>
  <si>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</si>
  <si>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</si>
  <si>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</si>
  <si>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</si>
  <si>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</si>
  <si>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</si>
  <si>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</si>
  <si>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</si>
  <si>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</si>
  <si>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</si>
  <si>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</si>
  <si>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</si>
  <si>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</si>
  <si>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</si>
  <si>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</si>
  <si>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</si>
  <si>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</si>
  <si>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</si>
  <si>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</si>
  <si>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</si>
  <si>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</si>
  <si>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</si>
  <si>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</si>
  <si>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</si>
  <si>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</si>
  <si>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</si>
  <si>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</si>
  <si>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</si>
  <si>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</si>
  <si>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</si>
  <si>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</si>
  <si>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</si>
  <si>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</si>
  <si>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</si>
  <si>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</si>
  <si>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</si>
  <si>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</si>
  <si>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</si>
  <si>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</si>
  <si>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</si>
  <si>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</si>
  <si>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</si>
  <si>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</si>
  <si>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</si>
  <si>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</si>
  <si>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</si>
  <si>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</si>
  <si>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</si>
  <si>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</si>
  <si>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</si>
  <si>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</si>
  <si>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</si>
  <si>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</si>
  <si>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</si>
  <si>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</si>
  <si>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</si>
  <si>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</si>
  <si>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</si>
  <si>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</si>
  <si>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</si>
  <si>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</si>
  <si>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</si>
  <si>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</si>
  <si>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</si>
  <si>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</si>
  <si>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</si>
  <si>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</si>
  <si>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</si>
  <si>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</si>
  <si>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</si>
  <si>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</si>
  <si>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</si>
  <si>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</si>
  <si>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</si>
  <si>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</si>
  <si>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</si>
  <si>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</si>
  <si>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</si>
  <si>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</si>
  <si>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</si>
  <si>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</si>
  <si>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</si>
  <si>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</si>
  <si>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</si>
  <si>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</si>
  <si>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</si>
  <si>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</si>
  <si>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</si>
  <si>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</si>
  <si>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</si>
  <si>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</si>
  <si>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</si>
  <si>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</si>
  <si>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</si>
  <si>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</si>
  <si>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</si>
  <si>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</si>
  <si>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</si>
  <si>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</si>
  <si>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</si>
  <si>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</si>
  <si>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</si>
  <si>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</si>
  <si>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</si>
  <si>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</si>
  <si>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</si>
  <si>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</si>
  <si>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</si>
  <si>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</si>
  <si>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</si>
  <si>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</si>
  <si>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</si>
  <si>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</si>
  <si>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</si>
  <si>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</si>
  <si>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</si>
  <si>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</si>
  <si>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</si>
  <si>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</si>
  <si>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</si>
  <si>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</si>
  <si>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</si>
  <si>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</si>
  <si>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</si>
  <si>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</si>
  <si>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</si>
  <si>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</si>
  <si>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</si>
  <si>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</si>
  <si>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</si>
  <si>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</si>
  <si>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</si>
  <si>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</si>
  <si>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</si>
  <si>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</si>
  <si>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</si>
  <si>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</si>
  <si>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</si>
  <si>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</si>
  <si>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</si>
  <si>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</si>
  <si>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</si>
  <si>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</si>
  <si>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</si>
  <si>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</si>
  <si>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</si>
  <si>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</si>
  <si>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</si>
  <si>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</si>
  <si>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</si>
  <si>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</si>
  <si>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</si>
  <si>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</si>
  <si>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</si>
  <si>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</si>
  <si>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</si>
  <si>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</si>
  <si>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</si>
  <si>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</si>
  <si>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</si>
  <si>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</si>
  <si>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</si>
  <si>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</si>
  <si>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</si>
  <si>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</si>
  <si>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</si>
  <si>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</si>
  <si>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</si>
  <si>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</si>
  <si>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</si>
  <si>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</si>
  <si>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</si>
  <si>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</si>
  <si>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</si>
  <si>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</si>
  <si>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</si>
  <si>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</si>
  <si>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</si>
  <si>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</si>
  <si>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</si>
  <si>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</si>
  <si>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</si>
  <si>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</si>
  <si>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</si>
  <si>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</si>
  <si>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</si>
  <si>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</si>
  <si>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</si>
  <si>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</si>
  <si>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</si>
  <si>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</si>
  <si>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</si>
  <si>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</si>
  <si>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</si>
  <si>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</si>
  <si>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</si>
  <si>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</si>
  <si>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</si>
  <si>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</si>
  <si>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</si>
  <si>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</si>
  <si>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</si>
  <si>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</si>
  <si>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</si>
  <si>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</si>
  <si>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</si>
  <si>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</si>
  <si>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</si>
  <si>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</si>
  <si>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</si>
  <si>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</si>
  <si>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</si>
  <si>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</si>
  <si>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</si>
  <si>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</si>
  <si>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</si>
  <si>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</si>
  <si>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</si>
  <si>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</si>
  <si>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</si>
  <si>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</si>
  <si>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</si>
  <si>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</si>
  <si>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</si>
  <si>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</si>
  <si>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</si>
  <si>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</si>
  <si>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</si>
  <si>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</si>
  <si>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</si>
  <si>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</si>
  <si>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</si>
  <si>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</si>
  <si>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</si>
  <si>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</si>
  <si>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</si>
  <si>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</si>
  <si>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</si>
  <si>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</si>
  <si>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</si>
  <si>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</si>
  <si>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</si>
  <si>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</si>
  <si>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</si>
  <si>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</si>
  <si>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</si>
  <si>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</si>
  <si>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</si>
  <si>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</si>
  <si>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</si>
  <si>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</si>
  <si>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</si>
  <si>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</si>
  <si>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</si>
  <si>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</si>
  <si>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</si>
  <si>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</si>
  <si>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</si>
  <si>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</si>
  <si>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</si>
  <si>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</si>
  <si>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</si>
  <si>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</si>
  <si>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</si>
  <si>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</si>
  <si>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</si>
  <si>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</si>
  <si>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</si>
  <si>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</si>
  <si>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</si>
  <si>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</si>
  <si>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</si>
  <si>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</si>
  <si>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</si>
  <si>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</si>
  <si>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</si>
  <si>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</si>
  <si>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</si>
  <si>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</si>
  <si>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</si>
  <si>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</si>
  <si>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</si>
  <si>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</si>
  <si>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</si>
  <si>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</si>
  <si>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</si>
  <si>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</si>
  <si>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</si>
  <si>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</si>
  <si>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</si>
  <si>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</si>
  <si>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</si>
  <si>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</si>
  <si>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</si>
  <si>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</si>
  <si>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</si>
  <si>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</si>
  <si>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</si>
  <si>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</si>
  <si>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</si>
  <si>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</si>
  <si>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</si>
  <si>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</si>
  <si>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</si>
  <si>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</si>
  <si>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</si>
  <si>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</si>
  <si>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</si>
  <si>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</si>
  <si>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</si>
  <si>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</si>
  <si>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</si>
  <si>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</si>
  <si>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</si>
  <si>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</si>
  <si>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</si>
  <si>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</si>
  <si>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</si>
  <si>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</si>
  <si>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</si>
  <si>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</si>
  <si>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</si>
  <si>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</si>
  <si>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</si>
  <si>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</si>
  <si>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</si>
  <si>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</si>
  <si>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</si>
  <si>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</si>
  <si>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</si>
  <si>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</si>
  <si>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</si>
  <si>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</si>
  <si>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</si>
  <si>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</si>
  <si>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</si>
  <si>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</si>
  <si>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</si>
  <si>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</si>
  <si>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</si>
  <si>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</si>
  <si>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</si>
  <si>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</si>
  <si>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</si>
  <si>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</si>
  <si>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</si>
  <si>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</si>
  <si>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</si>
  <si>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</si>
  <si>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</si>
  <si>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</si>
  <si>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</si>
  <si>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</si>
  <si>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</si>
  <si>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</si>
  <si>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</si>
  <si>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</si>
  <si>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</si>
  <si>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</si>
  <si>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</si>
  <si>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</si>
  <si>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</si>
  <si>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</si>
  <si>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</si>
  <si>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</si>
  <si>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</si>
  <si>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</si>
  <si>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</si>
  <si>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</si>
  <si>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</si>
  <si>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</si>
  <si>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</si>
  <si>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</si>
  <si>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</si>
  <si>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</si>
  <si>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</si>
  <si>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</si>
  <si>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</si>
  <si>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</si>
  <si>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</si>
  <si>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</si>
  <si>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</si>
  <si>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</si>
  <si>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</si>
  <si>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</si>
  <si>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</si>
  <si>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</si>
  <si>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</si>
  <si>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</si>
  <si>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</si>
  <si>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</si>
  <si>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</si>
  <si>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</si>
  <si>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</si>
  <si>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</si>
  <si>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</si>
  <si>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</si>
  <si>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</si>
  <si>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</si>
  <si>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</si>
  <si>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</si>
  <si>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</si>
  <si>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</si>
  <si>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</si>
  <si>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</si>
  <si>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</si>
  <si>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</si>
  <si>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</si>
  <si>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</si>
  <si>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</si>
  <si>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</si>
  <si>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</si>
  <si>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</si>
  <si>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</si>
  <si>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</si>
  <si>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</si>
  <si>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</si>
  <si>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</si>
  <si>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</si>
  <si>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</si>
  <si>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</si>
  <si>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</si>
  <si>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</si>
  <si>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</si>
  <si>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</si>
  <si>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</si>
  <si>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</si>
  <si>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</si>
  <si>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</si>
  <si>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</si>
  <si>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</si>
  <si>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</si>
  <si>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</si>
  <si>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</si>
  <si>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</si>
  <si>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</si>
  <si>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</si>
  <si>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</si>
  <si>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</si>
  <si>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</si>
  <si>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</si>
  <si>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</si>
  <si>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</si>
  <si>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</si>
  <si>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</si>
  <si>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</si>
  <si>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</si>
  <si>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</si>
  <si>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</si>
  <si>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</si>
  <si>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</si>
  <si>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</si>
  <si>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</si>
  <si>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</si>
  <si>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</si>
  <si>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</si>
  <si>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</si>
  <si>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</si>
  <si>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</si>
  <si>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</si>
  <si>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</si>
  <si>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</si>
  <si>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</si>
  <si>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</si>
  <si>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</si>
  <si>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</si>
  <si>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</si>
  <si>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</si>
  <si>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</si>
  <si>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</si>
  <si>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</si>
  <si>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</si>
  <si>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</si>
  <si>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</si>
  <si>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</si>
  <si>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</si>
  <si>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</si>
  <si>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</si>
  <si>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</si>
  <si>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</si>
  <si>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</si>
  <si>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</si>
  <si>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</si>
  <si>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</si>
  <si>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</si>
  <si>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</si>
  <si>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</si>
  <si>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</si>
  <si>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</si>
  <si>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</si>
  <si>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</si>
  <si>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</si>
  <si>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</si>
  <si>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</si>
  <si>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</si>
  <si>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</si>
  <si>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</si>
  <si>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</si>
  <si>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</si>
  <si>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</si>
  <si>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</si>
  <si>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</si>
  <si>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</si>
  <si>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</si>
  <si>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</si>
  <si>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</si>
  <si>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</si>
  <si>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</si>
  <si>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</si>
  <si>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</si>
  <si>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</si>
  <si>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</si>
  <si>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</si>
  <si>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</si>
  <si>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</si>
  <si>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</si>
  <si>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</si>
  <si>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</si>
  <si>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</si>
  <si>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</si>
  <si>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</si>
  <si>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</si>
  <si>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</si>
  <si>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</si>
  <si>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</si>
  <si>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</si>
  <si>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</si>
  <si>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</si>
  <si>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</si>
  <si>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</si>
  <si>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</si>
  <si>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</si>
  <si>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</si>
  <si>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</si>
  <si>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</si>
  <si>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</si>
  <si>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</si>
  <si>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</si>
  <si>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</si>
  <si>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</si>
  <si>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</si>
  <si>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</si>
  <si>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</si>
  <si>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</si>
  <si>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</si>
  <si>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</si>
  <si>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</si>
  <si>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</si>
  <si>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</si>
  <si>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</si>
  <si>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</si>
  <si>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</si>
  <si>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</si>
  <si>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</si>
  <si>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</si>
  <si>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</si>
  <si>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</si>
  <si>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</si>
  <si>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</si>
  <si>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</si>
  <si>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</si>
  <si>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</si>
  <si>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</si>
  <si>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</si>
  <si>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</si>
  <si>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</si>
  <si>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</si>
  <si>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</si>
  <si>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</si>
  <si>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</si>
  <si>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</si>
  <si>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</si>
  <si>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</si>
  <si>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</si>
  <si>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</si>
  <si>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</si>
  <si>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</si>
  <si>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</si>
  <si>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</si>
  <si>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</si>
  <si>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</si>
  <si>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</si>
  <si>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</si>
  <si>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</si>
  <si>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</si>
  <si>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</si>
  <si>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</si>
  <si>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</si>
  <si>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</si>
  <si>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</si>
  <si>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</si>
  <si>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</si>
  <si>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</si>
  <si>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</si>
  <si>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</si>
  <si>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</si>
  <si>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</si>
  <si>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</si>
  <si>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</si>
  <si>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</si>
  <si>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</si>
  <si>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</si>
  <si>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</si>
  <si>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</si>
  <si>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</si>
  <si>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</si>
  <si>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</si>
  <si>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</si>
  <si>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</si>
  <si>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</si>
  <si>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</si>
  <si>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</si>
  <si>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</si>
  <si>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</si>
  <si>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</si>
  <si>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</si>
  <si>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</si>
  <si>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</si>
  <si>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</si>
  <si>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</si>
  <si>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</si>
  <si>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</si>
  <si>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</si>
  <si>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</si>
  <si>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</si>
  <si>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</si>
  <si>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</si>
  <si>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</si>
  <si>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</si>
  <si>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</si>
  <si>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</si>
  <si>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</si>
  <si>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</si>
  <si>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</si>
  <si>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</si>
  <si>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</si>
  <si>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</si>
  <si>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</si>
  <si>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</si>
  <si>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</si>
  <si>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</si>
  <si>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</si>
  <si>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</si>
  <si>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</si>
  <si>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</si>
  <si>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</si>
  <si>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</si>
  <si>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</si>
  <si>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</si>
  <si>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</si>
  <si>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</si>
  <si>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</si>
  <si>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</si>
  <si>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</si>
  <si>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</si>
  <si>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</si>
  <si>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</si>
  <si>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</si>
  <si>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</si>
  <si>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</si>
  <si>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</si>
  <si>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</si>
  <si>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</si>
  <si>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</si>
  <si>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</si>
  <si>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</si>
  <si>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</si>
  <si>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</si>
  <si>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</si>
  <si>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</si>
  <si>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</si>
  <si>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</si>
  <si>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</si>
  <si>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</si>
  <si>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</si>
  <si>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</si>
  <si>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</si>
  <si>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</si>
  <si>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</si>
  <si>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</si>
  <si>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</si>
  <si>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</si>
  <si>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</si>
  <si>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</si>
  <si>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</si>
  <si>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</si>
  <si>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</si>
  <si>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</si>
  <si>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</si>
  <si>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</si>
  <si>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</si>
  <si>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</si>
  <si>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</si>
  <si>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</si>
  <si>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</si>
  <si>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</si>
  <si>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</si>
  <si>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</si>
  <si>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</si>
  <si>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</si>
  <si>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</si>
  <si>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</si>
  <si>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</si>
  <si>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</si>
  <si>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</si>
  <si>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</si>
  <si>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</si>
  <si>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</si>
  <si>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</si>
  <si>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</si>
  <si>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</si>
  <si>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</si>
  <si>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</si>
  <si>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</si>
  <si>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</si>
  <si>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</si>
  <si>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</si>
  <si>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</si>
  <si>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</si>
  <si>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</si>
  <si>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</si>
  <si>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</si>
  <si>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</si>
  <si>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</si>
  <si>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</si>
  <si>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</si>
  <si>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</si>
  <si>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</si>
  <si>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</si>
  <si>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</si>
  <si>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</si>
  <si>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</si>
  <si>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</si>
  <si>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</si>
  <si>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</si>
  <si>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</si>
  <si>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</si>
  <si>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</si>
  <si>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</si>
  <si>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</si>
  <si>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</si>
  <si>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</si>
  <si>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</si>
  <si>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</si>
  <si>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</si>
  <si>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</si>
  <si>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</si>
  <si>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</si>
  <si>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</si>
  <si>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</si>
  <si>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</si>
  <si>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</si>
  <si>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</si>
  <si>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</si>
  <si>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</si>
  <si>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</si>
  <si>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</si>
  <si>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</si>
  <si>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</si>
  <si>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</si>
  <si>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</si>
  <si>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</si>
  <si>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</si>
  <si>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</si>
  <si>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</si>
  <si>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</si>
  <si>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</si>
  <si>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</si>
  <si>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</si>
  <si>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</si>
  <si>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</si>
  <si>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</si>
  <si>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</si>
  <si>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</si>
  <si>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</si>
  <si>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</si>
  <si>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</si>
  <si>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</si>
  <si>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</si>
  <si>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</si>
  <si>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</si>
  <si>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</si>
  <si>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</si>
  <si>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</si>
  <si>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</si>
  <si>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</si>
  <si>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</si>
  <si>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</si>
  <si>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</si>
  <si>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</si>
  <si>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</si>
  <si>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</si>
  <si>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</si>
  <si>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</si>
  <si>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</si>
  <si>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</si>
  <si>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</si>
  <si>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</si>
  <si>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</si>
  <si>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</si>
  <si>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</si>
  <si>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</si>
  <si>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</si>
  <si>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</si>
  <si>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</si>
  <si>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</si>
  <si>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</si>
  <si>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</si>
  <si>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</si>
  <si>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</si>
  <si>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</si>
  <si>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</si>
  <si>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</si>
  <si>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</si>
  <si>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</si>
  <si>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</si>
  <si>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</si>
  <si>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</si>
  <si>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</si>
  <si>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</si>
  <si>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</si>
  <si>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</si>
  <si>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</si>
  <si>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</si>
  <si>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</si>
  <si>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</si>
  <si>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</si>
  <si>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</si>
  <si>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</si>
  <si>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</si>
  <si>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</si>
  <si>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</si>
  <si>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</si>
  <si>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</si>
  <si>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</si>
  <si>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</si>
  <si>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</si>
  <si>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</si>
  <si>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</si>
  <si>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</si>
  <si>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</si>
  <si>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</si>
  <si>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</si>
  <si>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</si>
  <si>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</si>
  <si>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</si>
  <si>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</si>
  <si>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</si>
  <si>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</si>
  <si>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</si>
  <si>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</si>
  <si>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</si>
  <si>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</si>
  <si>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</si>
  <si>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</si>
  <si>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</si>
  <si>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</si>
  <si>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</si>
  <si>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</si>
  <si>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</si>
  <si>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</si>
  <si>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</si>
  <si>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</si>
  <si>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</si>
  <si>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</si>
  <si>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</si>
  <si>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</si>
  <si>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</si>
  <si>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</si>
  <si>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</si>
  <si>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</si>
  <si>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</si>
  <si>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</si>
  <si>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</si>
  <si>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</si>
  <si>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</si>
  <si>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</si>
  <si>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</si>
  <si>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</si>
  <si>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</si>
  <si>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</si>
  <si>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</si>
  <si>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</si>
  <si>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</si>
  <si>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</si>
  <si>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</si>
  <si>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</si>
  <si>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</si>
  <si>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</si>
  <si>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</si>
  <si>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</si>
  <si>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</si>
  <si>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</si>
  <si>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</si>
  <si>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</si>
  <si>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</si>
  <si>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</si>
  <si>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</si>
  <si>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</si>
  <si>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</si>
  <si>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</si>
  <si>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</si>
  <si>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</si>
  <si>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</si>
  <si>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</si>
  <si>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</si>
  <si>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</si>
  <si>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</si>
  <si>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</si>
  <si>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</si>
  <si>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</si>
  <si>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</si>
  <si>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</si>
  <si>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</si>
  <si>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</si>
  <si>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</si>
  <si>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</si>
  <si>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</si>
  <si>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</si>
  <si>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</si>
  <si>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</si>
  <si>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</si>
  <si>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</si>
  <si>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</si>
  <si>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</si>
  <si>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</si>
  <si>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</si>
  <si>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</si>
  <si>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</si>
  <si>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</si>
  <si>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</si>
  <si>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</si>
  <si>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</si>
  <si>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</si>
  <si>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</si>
  <si>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</si>
  <si>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</si>
  <si>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</si>
  <si>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</si>
  <si>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</si>
  <si>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</si>
  <si>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</si>
  <si>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</si>
  <si>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</si>
  <si>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</si>
  <si>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</si>
  <si>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</si>
  <si>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</si>
  <si>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</si>
  <si>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</si>
  <si>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</si>
  <si>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</si>
  <si>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</si>
  <si>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</si>
  <si>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</si>
  <si>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</si>
  <si>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</si>
  <si>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</si>
  <si>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</si>
  <si>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</si>
  <si>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</si>
  <si>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</si>
  <si>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</si>
  <si>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</si>
  <si>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</si>
  <si>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</si>
  <si>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</si>
  <si>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</si>
  <si>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</si>
  <si>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</si>
  <si>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</si>
  <si>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</si>
  <si>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</si>
  <si>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</si>
  <si>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</si>
  <si>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</si>
  <si>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</si>
  <si>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</si>
  <si>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</si>
  <si>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</si>
  <si>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</si>
  <si>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</si>
  <si>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</si>
  <si>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</si>
  <si>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</si>
  <si>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</si>
  <si>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</si>
  <si>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</si>
  <si>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</si>
  <si>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</si>
  <si>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</si>
  <si>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</si>
  <si>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</si>
  <si>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</si>
  <si>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</si>
  <si>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</si>
  <si>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</si>
  <si>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</si>
  <si>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</si>
  <si>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</si>
  <si>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</si>
  <si>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</si>
  <si>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</si>
  <si>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</si>
  <si>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</si>
  <si>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</si>
  <si>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</si>
  <si>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</si>
  <si>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</si>
  <si>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</si>
  <si>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</si>
  <si>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</si>
  <si>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</si>
  <si>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</si>
  <si>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</si>
  <si>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</si>
  <si>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</si>
  <si>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</si>
  <si>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</si>
  <si>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</si>
  <si>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</si>
  <si>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</si>
  <si>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</si>
  <si>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</si>
  <si>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</si>
  <si>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</si>
  <si>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</si>
  <si>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</si>
  <si>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</si>
  <si>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</si>
  <si>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</si>
  <si>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</si>
  <si>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</si>
  <si>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</si>
  <si>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</si>
  <si>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</si>
  <si>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</si>
  <si>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</si>
  <si>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</si>
  <si>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</si>
  <si>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</si>
  <si>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</si>
  <si>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</si>
  <si>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</si>
  <si>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</si>
  <si>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</si>
  <si>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</si>
  <si>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</si>
  <si>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</si>
  <si>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</si>
  <si>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</si>
  <si>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</si>
  <si>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</si>
  <si>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</si>
  <si>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</si>
  <si>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</si>
  <si>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</si>
  <si>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</si>
  <si>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</si>
  <si>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</si>
  <si>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</si>
  <si>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</si>
  <si>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</si>
  <si>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</si>
  <si>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</si>
  <si>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</si>
  <si>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</si>
  <si>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</si>
  <si>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</si>
  <si>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</si>
  <si>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</si>
  <si>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</si>
  <si>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</si>
  <si>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</si>
  <si>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</si>
  <si>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</si>
  <si>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</si>
  <si>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</si>
  <si>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</si>
  <si>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</si>
  <si>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</si>
  <si>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</si>
  <si>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</si>
  <si>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</si>
  <si>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</si>
  <si>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</si>
  <si>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</si>
  <si>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</si>
  <si>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</si>
  <si>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</si>
  <si>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</si>
  <si>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</si>
  <si>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</si>
  <si>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</si>
  <si>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</si>
  <si>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</si>
  <si>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</si>
  <si>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</si>
  <si>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</si>
  <si>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</si>
  <si>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</si>
  <si>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</si>
  <si>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</si>
  <si>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</si>
  <si>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</si>
  <si>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</si>
  <si>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</si>
  <si>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</si>
  <si>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</si>
  <si>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</si>
  <si>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</si>
  <si>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</si>
  <si>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</si>
  <si>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</si>
  <si>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</si>
  <si>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</si>
  <si>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</si>
  <si>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</si>
  <si>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</si>
  <si>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</si>
  <si>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</si>
  <si>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</si>
  <si>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</si>
  <si>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</si>
  <si>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</si>
  <si>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</si>
  <si>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</si>
  <si>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</si>
  <si>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</si>
  <si>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</si>
  <si>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</si>
  <si>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</si>
  <si>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</si>
  <si>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</si>
  <si>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</si>
  <si>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</si>
  <si>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</si>
  <si>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</si>
  <si>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</si>
  <si>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</si>
  <si>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</si>
  <si>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</si>
  <si>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</si>
  <si>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</si>
  <si>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</si>
  <si>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</si>
  <si>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</si>
  <si>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</si>
  <si>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</si>
  <si>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</si>
  <si>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</si>
  <si>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</si>
  <si>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</si>
  <si>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</si>
  <si>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</si>
  <si>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</si>
  <si>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</si>
  <si>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</si>
  <si>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</si>
  <si>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</si>
  <si>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</si>
  <si>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</si>
  <si>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</si>
  <si>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</si>
  <si>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</si>
  <si>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</si>
  <si>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</si>
  <si>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</si>
  <si>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</si>
  <si>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</si>
  <si>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</si>
  <si>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</si>
  <si>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</si>
  <si>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</si>
  <si>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</si>
  <si>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</si>
  <si>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</si>
  <si>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</si>
  <si>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</si>
  <si>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</si>
  <si>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</si>
  <si>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</si>
  <si>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</si>
  <si>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</si>
  <si>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</si>
  <si>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</si>
  <si>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</si>
  <si>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</si>
  <si>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</si>
  <si>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</si>
  <si>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</si>
  <si>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</si>
  <si>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</si>
  <si>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</si>
  <si>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</si>
  <si>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</si>
  <si>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</si>
  <si>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</si>
  <si>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</si>
  <si>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</si>
  <si>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</si>
  <si>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</si>
  <si>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</si>
  <si>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</si>
  <si>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</si>
  <si>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</si>
  <si>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</si>
  <si>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</si>
  <si>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</si>
  <si>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</si>
  <si>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</si>
  <si>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</si>
  <si>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</si>
  <si>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</si>
  <si>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</si>
  <si>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</si>
  <si>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</si>
  <si>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</si>
  <si>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</si>
  <si>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</si>
  <si>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</si>
  <si>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</si>
  <si>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</si>
  <si>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</si>
  <si>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</si>
  <si>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</si>
  <si>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</si>
  <si>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</si>
  <si>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</si>
  <si>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</si>
  <si>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</si>
  <si>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</si>
  <si>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</si>
  <si>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</si>
  <si>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</si>
  <si>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</si>
  <si>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</si>
  <si>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</si>
  <si>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</si>
  <si>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</si>
  <si>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</si>
  <si>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</si>
  <si>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</si>
  <si>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</si>
  <si>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</si>
  <si>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</si>
  <si>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</si>
  <si>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</si>
  <si>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</si>
  <si>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</si>
  <si>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</si>
  <si>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</si>
  <si>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</si>
  <si>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</si>
  <si>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</si>
  <si>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</si>
  <si>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</si>
  <si>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</si>
  <si>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</si>
  <si>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</si>
  <si>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</si>
  <si>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</si>
  <si>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</si>
  <si>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</si>
  <si>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</si>
  <si>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</si>
  <si>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</si>
  <si>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</si>
  <si>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</si>
  <si>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</si>
  <si>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</si>
  <si>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</si>
  <si>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</si>
  <si>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</si>
  <si>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</si>
  <si>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</si>
  <si>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</si>
  <si>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</si>
  <si>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</si>
  <si>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</si>
  <si>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</si>
  <si>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</si>
  <si>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</si>
  <si>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</si>
  <si>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</si>
  <si>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</si>
  <si>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</si>
  <si>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</si>
  <si>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</si>
  <si>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</si>
  <si>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</si>
  <si>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</si>
  <si>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</si>
  <si>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</si>
  <si>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</si>
  <si>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</si>
  <si>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</si>
  <si>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</si>
  <si>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</si>
  <si>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</si>
  <si>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</si>
  <si>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</si>
  <si>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</si>
  <si>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</si>
  <si>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</si>
  <si>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</si>
  <si>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</si>
  <si>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</si>
  <si>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</si>
  <si>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</si>
  <si>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</si>
  <si>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</si>
  <si>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</si>
  <si>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</si>
  <si>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</si>
  <si>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</si>
  <si>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</si>
  <si>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</si>
  <si>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</si>
  <si>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</si>
  <si>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</si>
  <si>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</si>
  <si>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</si>
  <si>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</si>
  <si>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</si>
  <si>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</si>
  <si>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</si>
  <si>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</si>
  <si>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</si>
  <si>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</si>
  <si>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</si>
  <si>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</si>
  <si>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</si>
  <si>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</si>
  <si>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</si>
  <si>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</si>
  <si>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</si>
  <si>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</si>
  <si>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</si>
  <si>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</si>
  <si>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</si>
  <si>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</si>
  <si>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</si>
  <si>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</si>
  <si>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</si>
  <si>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</si>
  <si>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</si>
  <si>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</si>
  <si>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</si>
  <si>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</si>
  <si>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</si>
  <si>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</si>
  <si>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</si>
  <si>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</si>
  <si>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</si>
  <si>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</si>
  <si>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</si>
  <si>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</si>
  <si>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</si>
  <si>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</si>
  <si>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</si>
  <si>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</si>
  <si>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</si>
  <si>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</si>
  <si>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</si>
  <si>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</si>
  <si>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</si>
  <si>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</si>
  <si>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</si>
  <si>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</si>
  <si>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</si>
  <si>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</si>
  <si>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</si>
  <si>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</si>
  <si>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</si>
  <si>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</si>
  <si>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</si>
  <si>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</si>
  <si>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</si>
  <si>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</si>
  <si>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</si>
  <si>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</si>
  <si>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</si>
  <si>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</si>
  <si>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</si>
  <si>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</si>
  <si>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</si>
  <si>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</si>
  <si>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</si>
  <si>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</si>
  <si>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</si>
  <si>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</si>
  <si>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</si>
  <si>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</si>
  <si>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</si>
  <si>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</si>
  <si>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</si>
  <si>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</si>
  <si>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</si>
  <si>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</si>
  <si>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</si>
  <si>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</si>
  <si>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</si>
  <si>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</si>
  <si>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</si>
  <si>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</si>
  <si>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</si>
  <si>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</si>
  <si>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</si>
  <si>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</si>
  <si>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</si>
  <si>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</si>
  <si>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</si>
  <si>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</si>
  <si>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</si>
  <si>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</si>
  <si>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</si>
  <si>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</si>
  <si>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</si>
  <si>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</si>
  <si>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</si>
  <si>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</si>
  <si>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</si>
  <si>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</si>
  <si>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</si>
  <si>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</si>
  <si>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</si>
  <si>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</si>
  <si>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</si>
  <si>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</si>
  <si>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</si>
  <si>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</si>
  <si>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</si>
  <si>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</si>
  <si>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</si>
  <si>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</si>
  <si>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</si>
  <si>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</si>
  <si>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</si>
  <si>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</si>
  <si>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</si>
  <si>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</si>
  <si>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</si>
  <si>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</si>
  <si>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</si>
  <si>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</si>
  <si>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</si>
  <si>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</si>
  <si>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</si>
  <si>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</si>
  <si>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</si>
  <si>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</si>
  <si>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</si>
  <si>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</si>
  <si>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</si>
  <si>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</si>
  <si>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</si>
  <si>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</si>
  <si>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</si>
  <si>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</si>
  <si>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</si>
  <si>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</si>
  <si>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</si>
  <si>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</si>
  <si>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</si>
  <si>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</si>
  <si>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</si>
  <si>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</si>
  <si>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</si>
  <si>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</si>
  <si>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</si>
  <si>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</si>
  <si>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</si>
  <si>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</si>
  <si>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</si>
  <si>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</si>
  <si>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</si>
  <si>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</si>
  <si>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</si>
  <si>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</si>
  <si>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</si>
  <si>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</si>
  <si>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</si>
  <si>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</si>
  <si>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</si>
  <si>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</si>
  <si>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</si>
  <si>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</si>
  <si>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</si>
  <si>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</si>
  <si>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</si>
  <si>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</si>
  <si>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</si>
  <si>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</si>
  <si>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</si>
  <si>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</si>
  <si>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</si>
  <si>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</si>
  <si>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</si>
  <si>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</si>
  <si>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</si>
  <si>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</si>
  <si>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</si>
  <si>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</si>
  <si>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</si>
  <si>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</si>
  <si>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</si>
  <si>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</si>
  <si>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</si>
  <si>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</si>
  <si>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</si>
  <si>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</si>
  <si>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</si>
  <si>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</si>
  <si>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</si>
  <si>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</si>
  <si>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</si>
  <si>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</si>
  <si>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</si>
  <si>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</si>
  <si>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</si>
  <si>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</si>
  <si>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</si>
  <si>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</si>
  <si>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</si>
  <si>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</si>
  <si>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</si>
  <si>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</si>
  <si>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</si>
  <si>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</si>
  <si>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</si>
  <si>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</si>
  <si>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</si>
  <si>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</si>
  <si>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</si>
  <si>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</si>
  <si>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</si>
  <si>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</si>
  <si>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</si>
  <si>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</si>
  <si>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</si>
  <si>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</si>
  <si>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</si>
  <si>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</si>
  <si>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</si>
  <si>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</si>
  <si>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</si>
  <si>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</si>
  <si>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</si>
  <si>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</si>
  <si>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</si>
  <si>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</si>
  <si>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</si>
  <si>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</si>
  <si>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</si>
  <si>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</si>
  <si>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</si>
  <si>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</si>
  <si>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</si>
  <si>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</si>
  <si>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</si>
  <si>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</si>
  <si>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</si>
  <si>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</si>
  <si>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</si>
  <si>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</si>
  <si>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</si>
  <si>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</si>
  <si>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</si>
  <si>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</si>
  <si>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</si>
  <si>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</si>
  <si>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</si>
  <si>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</si>
  <si>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</si>
  <si>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</si>
  <si>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</si>
  <si>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</si>
  <si>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</si>
  <si>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</si>
  <si>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</si>
  <si>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</si>
  <si>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</si>
  <si>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</si>
  <si>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</si>
  <si>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</si>
  <si>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</si>
  <si>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</si>
  <si>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</si>
  <si>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</si>
  <si>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</si>
  <si>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</si>
  <si>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</si>
  <si>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</si>
  <si>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</si>
  <si>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</si>
  <si>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</si>
  <si>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</si>
  <si>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</si>
  <si>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</si>
  <si>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</si>
  <si>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</si>
  <si>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</si>
  <si>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</si>
  <si>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</si>
  <si>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</si>
  <si>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</si>
  <si>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</si>
  <si>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</si>
  <si>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</si>
  <si>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</si>
  <si>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</si>
  <si>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</si>
  <si>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</si>
  <si>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</si>
  <si>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</si>
  <si>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</si>
  <si>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</si>
  <si>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</si>
  <si>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</si>
  <si>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</si>
  <si>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</si>
  <si>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</si>
  <si>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</si>
  <si>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</si>
  <si>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</si>
  <si>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</si>
  <si>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</si>
  <si>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</si>
  <si>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</si>
  <si>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</si>
  <si>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</si>
  <si>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</si>
  <si>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</si>
  <si>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</si>
  <si>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</si>
  <si>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</si>
  <si>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</si>
  <si>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</si>
  <si>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</si>
  <si>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</si>
  <si>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</si>
  <si>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</si>
  <si>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</si>
  <si>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</si>
  <si>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</si>
  <si>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</si>
  <si>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</si>
  <si>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</si>
  <si>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</si>
  <si>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</si>
  <si>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</si>
  <si>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</si>
  <si>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</si>
  <si>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</si>
  <si>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</si>
  <si>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</si>
  <si>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</si>
  <si>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</si>
  <si>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</si>
  <si>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</si>
  <si>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</si>
  <si>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</si>
  <si>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</si>
  <si>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</si>
  <si>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</si>
  <si>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</si>
  <si>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</si>
  <si>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</si>
  <si>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</si>
  <si>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</si>
  <si>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</si>
  <si>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</si>
  <si>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</si>
  <si>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</si>
  <si>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</si>
  <si>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</si>
  <si>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</si>
  <si>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</si>
  <si>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</si>
  <si>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</si>
  <si>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</si>
  <si>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</si>
  <si>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</si>
  <si>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</si>
  <si>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</si>
  <si>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</si>
  <si>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</si>
  <si>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</si>
  <si>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</si>
  <si>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</si>
  <si>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</si>
  <si>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</si>
  <si>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</si>
  <si>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</si>
  <si>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</si>
  <si>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</si>
  <si>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</si>
  <si>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</si>
  <si>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</si>
  <si>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</si>
  <si>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</si>
  <si>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</si>
  <si>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</si>
  <si>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</si>
  <si>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</si>
  <si>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</si>
  <si>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</si>
  <si>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</si>
  <si>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</si>
  <si>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</si>
  <si>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</si>
  <si>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</si>
  <si>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</si>
  <si>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</si>
  <si>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</si>
  <si>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</si>
  <si>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</si>
  <si>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</si>
  <si>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</si>
  <si>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</si>
  <si>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</si>
  <si>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</si>
  <si>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</si>
  <si>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</si>
  <si>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</si>
  <si>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</si>
  <si>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</si>
  <si>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</si>
  <si>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</si>
  <si>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</si>
  <si>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</si>
  <si>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</si>
  <si>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</si>
  <si>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</si>
  <si>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</si>
  <si>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</si>
  <si>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</si>
  <si>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</si>
  <si>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</si>
  <si>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</si>
  <si>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</si>
  <si>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</si>
  <si>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</si>
  <si>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</si>
  <si>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</si>
  <si>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</si>
  <si>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</si>
  <si>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</si>
  <si>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</si>
  <si>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</si>
  <si>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</si>
  <si>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</si>
  <si>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</si>
  <si>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</si>
  <si>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</si>
  <si>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</si>
  <si>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</si>
  <si>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</si>
  <si>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</si>
  <si>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</si>
  <si>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</si>
  <si>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</si>
  <si>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</si>
  <si>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</si>
  <si>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</si>
  <si>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</si>
  <si>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</si>
  <si>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</si>
  <si>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</si>
  <si>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</si>
  <si>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</si>
  <si>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</si>
  <si>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</si>
  <si>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</si>
  <si>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</si>
  <si>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</si>
  <si>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</si>
  <si>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</si>
  <si>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</si>
  <si>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</si>
  <si>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</si>
  <si>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</si>
  <si>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</si>
  <si>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</si>
  <si>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</si>
  <si>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</si>
  <si>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</si>
  <si>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</si>
  <si>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</si>
  <si>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</si>
  <si>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</si>
  <si>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</si>
  <si>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</si>
  <si>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</si>
  <si>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</si>
  <si>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</si>
  <si>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</si>
  <si>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</si>
  <si>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</si>
  <si>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</si>
  <si>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</si>
  <si>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</si>
  <si>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</si>
  <si>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</si>
  <si>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</si>
  <si>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</si>
  <si>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</si>
  <si>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</si>
  <si>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</si>
  <si>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</si>
  <si>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</si>
  <si>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</si>
  <si>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</si>
  <si>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</si>
  <si>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</si>
  <si>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</si>
  <si>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</si>
  <si>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</si>
  <si>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</si>
  <si>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</si>
  <si>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</si>
  <si>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</si>
  <si>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</si>
  <si>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</si>
  <si>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</si>
  <si>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</si>
  <si>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</si>
  <si>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</si>
  <si>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</si>
  <si>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</si>
  <si>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</si>
  <si>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</si>
  <si>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</si>
  <si>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</si>
  <si>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</si>
  <si>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</si>
  <si>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</si>
  <si>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</si>
  <si>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</si>
  <si>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</si>
  <si>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</si>
  <si>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</si>
  <si>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</si>
  <si>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</si>
  <si>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</si>
  <si>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</si>
  <si>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</si>
  <si>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</si>
  <si>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</si>
  <si>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</si>
  <si>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</si>
  <si>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</si>
  <si>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</si>
  <si>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</si>
  <si>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</si>
  <si>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</si>
  <si>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</si>
  <si>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</si>
  <si>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</si>
  <si>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</si>
  <si>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</si>
  <si>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</si>
  <si>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</si>
  <si>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</si>
  <si>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</si>
  <si>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</si>
  <si>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</si>
  <si>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</si>
  <si>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</si>
  <si>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</si>
  <si>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</si>
  <si>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</si>
  <si>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</si>
  <si>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</si>
  <si>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</si>
  <si>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</si>
  <si>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</si>
  <si>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</si>
  <si>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</si>
  <si>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</si>
  <si>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</si>
  <si>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</si>
  <si>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</si>
  <si>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</si>
  <si>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</si>
  <si>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</si>
  <si>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</si>
  <si>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</si>
  <si>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</si>
  <si>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</si>
  <si>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</si>
  <si>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</si>
  <si>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</si>
  <si>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</si>
  <si>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</si>
  <si>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</si>
  <si>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</si>
  <si>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</si>
  <si>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</si>
  <si>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</si>
  <si>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</si>
  <si>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</si>
  <si>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</si>
  <si>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</si>
  <si>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</si>
  <si>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</si>
  <si>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</si>
  <si>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</si>
  <si>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</si>
  <si>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</si>
  <si>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</si>
  <si>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</si>
  <si>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</si>
  <si>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</si>
  <si>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</si>
  <si>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</si>
  <si>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</si>
  <si>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</si>
  <si>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</si>
  <si>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</si>
  <si>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</si>
  <si>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</si>
  <si>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</si>
  <si>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</si>
  <si>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</si>
  <si>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</si>
  <si>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</si>
  <si>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</si>
  <si>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</si>
  <si>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</si>
  <si>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</si>
  <si>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</si>
  <si>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</si>
  <si>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</si>
  <si>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</si>
  <si>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</si>
  <si>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</si>
  <si>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</si>
  <si>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</si>
  <si>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</si>
  <si>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</si>
  <si>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</si>
  <si>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</si>
  <si>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</si>
  <si>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</si>
  <si>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</si>
  <si>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</si>
  <si>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</si>
  <si>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</si>
  <si>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</si>
  <si>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</si>
  <si>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</si>
  <si>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</si>
  <si>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</si>
  <si>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</si>
  <si>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</si>
  <si>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</si>
  <si>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</si>
  <si>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</si>
  <si>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</si>
  <si>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</si>
  <si>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</si>
  <si>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</si>
  <si>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</si>
  <si>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</si>
  <si>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</si>
  <si>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</si>
  <si>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</si>
  <si>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</si>
  <si>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</si>
  <si>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</si>
  <si>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</si>
  <si>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</si>
  <si>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</si>
  <si>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</si>
  <si>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</si>
  <si>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</si>
  <si>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</si>
  <si>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</si>
  <si>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</si>
  <si>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</si>
  <si>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</si>
  <si>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</si>
  <si>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</si>
  <si>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</si>
  <si>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</si>
  <si>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</si>
  <si>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</si>
  <si>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</si>
  <si>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</si>
  <si>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</si>
  <si>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</si>
  <si>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</si>
  <si>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</si>
  <si>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</si>
  <si>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</si>
  <si>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</si>
  <si>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</si>
  <si>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</si>
  <si>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</si>
  <si>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</si>
  <si>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</si>
  <si>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</si>
  <si>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</si>
  <si>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</si>
  <si>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</si>
  <si>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</si>
  <si>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</si>
  <si>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</si>
  <si>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</si>
  <si>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</si>
  <si>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</si>
  <si>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</si>
  <si>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</si>
  <si>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</si>
  <si>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</si>
  <si>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</si>
  <si>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</si>
  <si>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</si>
  <si>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</si>
  <si>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</si>
  <si>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</si>
  <si>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</si>
  <si>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</si>
  <si>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</si>
  <si>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</si>
  <si>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</si>
  <si>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</si>
  <si>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</si>
  <si>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</si>
  <si>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</si>
  <si>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</si>
  <si>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</si>
  <si>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</si>
  <si>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</si>
  <si>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</si>
  <si>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</si>
  <si>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</si>
  <si>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</si>
  <si>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</si>
  <si>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</si>
  <si>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</si>
  <si>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</si>
  <si>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</si>
  <si>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</si>
  <si>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</si>
  <si>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</si>
  <si>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</si>
  <si>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</si>
  <si>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</si>
  <si>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</si>
  <si>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</si>
  <si>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</si>
  <si>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</si>
  <si>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</si>
  <si>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</si>
  <si>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</si>
  <si>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</si>
  <si>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</si>
  <si>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</si>
  <si>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</si>
  <si>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</si>
  <si>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</si>
  <si>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</si>
  <si>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</si>
  <si>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</si>
  <si>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</si>
  <si>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</si>
  <si>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</si>
  <si>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</si>
  <si>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</si>
  <si>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</si>
  <si>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</si>
  <si>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</si>
  <si>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</si>
  <si>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</si>
  <si>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</si>
  <si>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</si>
  <si>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</si>
  <si>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</si>
  <si>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</si>
  <si>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</si>
  <si>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</si>
  <si>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</si>
  <si>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</si>
  <si>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</si>
  <si>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</si>
  <si>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</si>
  <si>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</si>
  <si>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</si>
  <si>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</si>
  <si>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</si>
  <si>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</si>
  <si>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</si>
  <si>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</si>
  <si>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</si>
  <si>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</si>
  <si>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</si>
  <si>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</si>
  <si>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</si>
  <si>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</si>
  <si>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</si>
  <si>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</si>
  <si>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</si>
  <si>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</si>
  <si>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</si>
  <si>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</si>
  <si>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</si>
  <si>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</si>
  <si>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</si>
  <si>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</si>
  <si>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</si>
  <si>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</si>
  <si>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</si>
  <si>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</si>
  <si>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</si>
  <si>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</si>
  <si>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</si>
  <si>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</si>
  <si>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</si>
  <si>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</si>
  <si>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</si>
  <si>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</si>
  <si>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</si>
  <si>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</si>
  <si>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</si>
  <si>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</si>
  <si>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</si>
  <si>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</si>
  <si>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</si>
  <si>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</si>
  <si>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</si>
  <si>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</si>
  <si>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</si>
  <si>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</si>
  <si>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</si>
  <si>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</si>
  <si>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</si>
  <si>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</si>
  <si>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</si>
  <si>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</si>
  <si>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</si>
  <si>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</si>
  <si>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</si>
  <si>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</si>
  <si>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</si>
  <si>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</si>
  <si>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</si>
  <si>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</si>
  <si>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</si>
  <si>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</si>
  <si>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</si>
  <si>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</si>
  <si>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</si>
  <si>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</si>
  <si>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</si>
  <si>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</si>
  <si>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</si>
  <si>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</si>
  <si>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</si>
  <si>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</si>
  <si>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</si>
  <si>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</si>
  <si>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</si>
  <si>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</si>
  <si>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</si>
  <si>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</si>
  <si>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</si>
  <si>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</si>
  <si>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</si>
  <si>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</si>
  <si>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</si>
  <si>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</si>
  <si>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</si>
  <si>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</si>
  <si>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</si>
  <si>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</si>
  <si>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</si>
  <si>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</si>
  <si>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</si>
  <si>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</si>
  <si>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</si>
  <si>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</si>
  <si>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</si>
  <si>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</si>
  <si>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</si>
  <si>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</si>
  <si>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</si>
  <si>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</si>
  <si>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</si>
  <si>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</si>
  <si>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</si>
  <si>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</si>
  <si>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</si>
  <si>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</si>
  <si>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</si>
  <si>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</si>
  <si>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</si>
  <si>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</si>
  <si>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</si>
  <si>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</si>
  <si>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</si>
  <si>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</si>
  <si>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</si>
  <si>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</si>
  <si>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</si>
  <si>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</si>
  <si>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</si>
  <si>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</si>
  <si>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</si>
  <si>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</si>
  <si>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</si>
  <si>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</si>
  <si>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</si>
  <si>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</si>
  <si>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</si>
  <si>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</si>
  <si>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</si>
  <si>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</si>
  <si>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</si>
  <si>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</si>
  <si>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</si>
  <si>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</si>
  <si>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</si>
  <si>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</si>
  <si>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</si>
  <si>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</si>
  <si>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</si>
  <si>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</si>
  <si>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</si>
  <si>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</si>
  <si>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</si>
  <si>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</si>
  <si>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</si>
  <si>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</si>
  <si>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</si>
  <si>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</si>
  <si>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</si>
  <si>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</si>
  <si>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</si>
  <si>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</si>
  <si>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</si>
  <si>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</si>
  <si>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</si>
  <si>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</si>
  <si>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</si>
  <si>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</si>
  <si>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</si>
  <si>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</si>
  <si>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</si>
  <si>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</si>
  <si>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</si>
  <si>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</si>
  <si>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</si>
  <si>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</si>
  <si>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</si>
  <si>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</si>
  <si>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</si>
  <si>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</si>
  <si>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</si>
  <si>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</si>
  <si>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</si>
  <si>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</si>
  <si>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</si>
  <si>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</si>
  <si>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</si>
  <si>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</si>
  <si>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</si>
  <si>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</si>
  <si>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</si>
  <si>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</si>
  <si>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</si>
  <si>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</si>
  <si>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</si>
  <si>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</si>
  <si>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</si>
  <si>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</si>
  <si>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</si>
  <si>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</si>
  <si>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</si>
  <si>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</si>
  <si>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</si>
  <si>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</si>
  <si>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</si>
  <si>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</si>
  <si>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</si>
  <si>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</si>
  <si>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</si>
  <si>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</si>
  <si>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</si>
  <si>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</si>
  <si>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</si>
  <si>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</si>
  <si>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</si>
  <si>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</si>
  <si>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</si>
  <si>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</si>
  <si>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</si>
  <si>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</si>
  <si>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</si>
  <si>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</si>
  <si>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</si>
  <si>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</si>
  <si>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</si>
  <si>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</si>
  <si>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</si>
  <si>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</si>
  <si>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</si>
  <si>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</si>
  <si>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</si>
  <si>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</si>
  <si>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</si>
  <si>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</si>
  <si>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</si>
  <si>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</si>
  <si>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</si>
  <si>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</si>
  <si>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</si>
  <si>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</si>
  <si>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</si>
  <si>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</si>
  <si>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</si>
  <si>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</si>
  <si>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</si>
  <si>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</si>
  <si>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</si>
  <si>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</si>
  <si>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</si>
  <si>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</si>
  <si>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</si>
  <si>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</si>
  <si>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</si>
  <si>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</si>
  <si>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</si>
  <si>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</si>
  <si>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</si>
  <si>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</si>
  <si>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</si>
  <si>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</si>
  <si>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</si>
  <si>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</si>
  <si>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</si>
  <si>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</si>
  <si>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</si>
  <si>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</si>
  <si>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</si>
  <si>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</si>
  <si>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</si>
  <si>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</si>
  <si>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</si>
  <si>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</si>
  <si>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</si>
  <si>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</si>
  <si>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</si>
  <si>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</si>
  <si>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</si>
  <si>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</si>
  <si>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</si>
  <si>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</si>
  <si>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</si>
  <si>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</si>
  <si>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</si>
  <si>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</si>
  <si>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</si>
  <si>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</si>
  <si>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</si>
  <si>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</si>
  <si>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</si>
  <si>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</si>
  <si>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</si>
  <si>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</si>
  <si>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</si>
  <si>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</si>
  <si>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</si>
  <si>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</si>
  <si>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</si>
  <si>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</si>
  <si>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</si>
  <si>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</si>
  <si>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</si>
  <si>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</si>
  <si>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</si>
  <si>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</si>
  <si>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</si>
  <si>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</si>
  <si>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</si>
  <si>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</si>
  <si>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</si>
  <si>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</si>
  <si>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</si>
  <si>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</si>
  <si>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</si>
  <si>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</si>
  <si>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</si>
  <si>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</si>
  <si>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</si>
  <si>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</si>
  <si>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</si>
  <si>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</si>
  <si>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</si>
  <si>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</si>
  <si>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</si>
  <si>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</si>
  <si>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</si>
  <si>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</si>
  <si>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</si>
  <si>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</si>
  <si>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</si>
  <si>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</si>
  <si>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</si>
  <si>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</si>
  <si>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</si>
  <si>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</si>
  <si>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</si>
  <si>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</si>
  <si>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</si>
  <si>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</si>
  <si>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</si>
  <si>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</si>
  <si>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</si>
  <si>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</si>
  <si>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</si>
  <si>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</si>
  <si>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</si>
  <si>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</si>
  <si>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</si>
  <si>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</si>
  <si>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</si>
  <si>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</si>
  <si>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</si>
  <si>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</si>
  <si>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</si>
  <si>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</si>
  <si>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</si>
  <si>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</si>
  <si>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</si>
  <si>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</si>
  <si>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</si>
  <si>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</si>
  <si>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</si>
  <si>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</si>
  <si>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</si>
  <si>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</si>
  <si>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</si>
  <si>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</si>
  <si>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</si>
  <si>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</si>
  <si>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</si>
  <si>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</si>
  <si>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</si>
  <si>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</si>
  <si>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</si>
  <si>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</si>
  <si>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</si>
  <si>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</si>
  <si>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</si>
  <si>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</si>
  <si>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</si>
  <si>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</si>
  <si>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</si>
  <si>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</si>
  <si>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</si>
  <si>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</si>
  <si>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</si>
  <si>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</si>
  <si>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</si>
  <si>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</si>
  <si>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</si>
  <si>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</si>
  <si>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</si>
  <si>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</si>
  <si>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</si>
  <si>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</si>
  <si>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</si>
  <si>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</si>
  <si>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</si>
  <si>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</si>
  <si>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</si>
  <si>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</si>
  <si>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</si>
  <si>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</si>
  <si>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</si>
  <si>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</si>
  <si>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</si>
  <si>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</si>
  <si>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</si>
  <si>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</si>
  <si>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</si>
  <si>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</si>
  <si>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</si>
  <si>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</si>
  <si>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</si>
  <si>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</si>
  <si>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</si>
  <si>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</si>
  <si>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</si>
  <si>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</si>
  <si>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</si>
  <si>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</si>
  <si>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</si>
  <si>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</si>
  <si>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</si>
  <si>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</si>
  <si>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</si>
  <si>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</si>
  <si>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</si>
  <si>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</si>
  <si>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</si>
  <si>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</si>
  <si>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</si>
  <si>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</si>
  <si>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</si>
  <si>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</si>
  <si>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</si>
  <si>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</si>
  <si>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</si>
  <si>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</si>
  <si>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</si>
  <si>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</si>
  <si>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</si>
  <si>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</si>
  <si>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</si>
  <si>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</si>
  <si>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</si>
  <si>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</si>
  <si>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</si>
  <si>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</si>
  <si>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</si>
  <si>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</si>
  <si>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</si>
  <si>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</si>
  <si>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</si>
  <si>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</si>
  <si>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</si>
  <si>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</si>
  <si>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</si>
  <si>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</si>
  <si>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</si>
  <si>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</si>
  <si>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</si>
  <si>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</si>
  <si>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</si>
  <si>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</si>
  <si>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</si>
  <si>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</si>
  <si>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</si>
  <si>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</si>
  <si>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</si>
  <si>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</si>
  <si>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</si>
  <si>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</si>
  <si>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</si>
  <si>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</si>
  <si>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</si>
  <si>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</si>
  <si>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</si>
  <si>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</si>
  <si>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</si>
  <si>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</si>
  <si>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</si>
  <si>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</si>
  <si>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</si>
  <si>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</si>
  <si>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</si>
  <si>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</si>
  <si>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</si>
  <si>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</si>
  <si>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</si>
  <si>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</si>
  <si>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</si>
  <si>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</si>
  <si>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</si>
  <si>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</si>
  <si>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</si>
  <si>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</si>
  <si>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</si>
  <si>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</si>
  <si>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</si>
  <si>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</si>
  <si>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</si>
  <si>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</si>
  <si>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</si>
  <si>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</si>
  <si>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</si>
  <si>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</si>
  <si>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</si>
  <si>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</si>
  <si>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</si>
  <si>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</si>
  <si>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</si>
  <si>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</si>
  <si>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</si>
  <si>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</si>
  <si>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</si>
  <si>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</si>
  <si>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</si>
  <si>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</si>
  <si>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</si>
  <si>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</si>
  <si>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</si>
  <si>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</si>
  <si>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</si>
  <si>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</si>
  <si>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</si>
  <si>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</si>
  <si>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</si>
  <si>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</si>
  <si>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</si>
  <si>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</si>
  <si>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</si>
  <si>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</si>
  <si>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</si>
  <si>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</si>
  <si>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</si>
  <si>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</si>
  <si>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</si>
  <si>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</si>
  <si>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</si>
  <si>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</si>
  <si>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</si>
  <si>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</si>
  <si>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</si>
  <si>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</si>
  <si>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</si>
  <si>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</si>
  <si>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</si>
  <si>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</si>
  <si>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</si>
  <si>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</si>
  <si>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</si>
  <si>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</si>
  <si>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</si>
  <si>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</si>
  <si>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</si>
  <si>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</si>
  <si>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</si>
  <si>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</si>
  <si>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</si>
  <si>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</si>
  <si>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</si>
  <si>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</si>
  <si>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</si>
  <si>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</si>
  <si>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</si>
  <si>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</si>
  <si>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</si>
  <si>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</si>
  <si>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</si>
  <si>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</si>
  <si>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</si>
  <si>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</si>
  <si>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</si>
  <si>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</si>
  <si>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</si>
  <si>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</si>
  <si>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</si>
  <si>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</si>
  <si>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</si>
  <si>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</si>
  <si>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</si>
  <si>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</si>
  <si>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</si>
  <si>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</si>
  <si>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</si>
  <si>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</si>
  <si>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</si>
  <si>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</si>
  <si>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</si>
  <si>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</si>
  <si>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</si>
  <si>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</si>
  <si>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</si>
  <si>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</si>
  <si>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</si>
  <si>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</si>
  <si>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</si>
  <si>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</si>
  <si>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</si>
  <si>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</si>
  <si>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</si>
  <si>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</si>
  <si>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</si>
  <si>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</si>
  <si>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</si>
  <si>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</si>
  <si>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</si>
  <si>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</si>
  <si>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</si>
  <si>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</si>
  <si>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</si>
  <si>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</si>
  <si>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</si>
  <si>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</si>
  <si>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</si>
  <si>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</si>
  <si>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</si>
  <si>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</si>
  <si>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</si>
  <si>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</si>
  <si>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</si>
  <si>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</si>
  <si>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</si>
  <si>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</si>
  <si>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</si>
  <si>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</si>
  <si>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</si>
  <si>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</si>
  <si>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</si>
  <si>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</si>
  <si>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</si>
  <si>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</si>
  <si>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</si>
  <si>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</si>
  <si>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</si>
  <si>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</si>
  <si>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</si>
  <si>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</si>
  <si>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</si>
  <si>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</si>
  <si>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</si>
  <si>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</si>
  <si>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</si>
  <si>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</si>
  <si>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</si>
  <si>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</si>
  <si>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</si>
  <si>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</si>
  <si>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</si>
  <si>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</si>
  <si>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</si>
  <si>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</si>
  <si>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</si>
  <si>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</si>
  <si>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</si>
  <si>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</si>
  <si>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</si>
  <si>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</si>
  <si>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</si>
  <si>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</si>
  <si>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</si>
  <si>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</si>
  <si>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</si>
  <si>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</si>
  <si>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</si>
  <si>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</si>
  <si>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</si>
  <si>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</si>
  <si>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</si>
  <si>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</si>
  <si>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</si>
  <si>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</si>
  <si>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</si>
  <si>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</si>
  <si>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</si>
  <si>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</si>
  <si>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</si>
  <si>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</si>
  <si>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</si>
  <si>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</si>
  <si>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</si>
  <si>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</si>
  <si>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</si>
  <si>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</si>
  <si>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</si>
  <si>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</si>
  <si>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</si>
  <si>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</si>
  <si>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</si>
  <si>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</si>
  <si>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</si>
  <si>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</si>
  <si>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</si>
  <si>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</si>
  <si>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</si>
  <si>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</si>
  <si>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</si>
  <si>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</si>
  <si>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</si>
  <si>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</si>
  <si>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</si>
  <si>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</si>
  <si>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</si>
  <si>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</si>
  <si>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</si>
  <si>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</si>
  <si>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</si>
  <si>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</si>
  <si>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</si>
  <si>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</si>
  <si>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</si>
  <si>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</si>
  <si>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</si>
  <si>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</si>
  <si>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</si>
  <si>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</si>
  <si>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</si>
  <si>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</si>
  <si>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</si>
  <si>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</si>
  <si>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</si>
  <si>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</si>
  <si>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</si>
  <si>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</si>
  <si>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</si>
  <si>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</si>
  <si>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</si>
  <si>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</si>
  <si>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</si>
  <si>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</si>
  <si>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</si>
  <si>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</si>
  <si>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</si>
  <si>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</si>
  <si>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</si>
  <si>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</si>
  <si>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</si>
  <si>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</si>
  <si>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</si>
  <si>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</si>
  <si>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</si>
  <si>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</si>
  <si>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</si>
  <si>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</si>
  <si>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</si>
  <si>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</si>
  <si>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</si>
  <si>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</si>
  <si>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</si>
  <si>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</si>
  <si>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</si>
  <si>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</si>
  <si>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</si>
  <si>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</si>
  <si>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</si>
  <si>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</si>
  <si>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</si>
  <si>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</si>
  <si>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</si>
  <si>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</si>
  <si>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</si>
  <si>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</si>
  <si>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</si>
  <si>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</si>
  <si>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</si>
  <si>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</si>
  <si>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</si>
  <si>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</si>
  <si>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</si>
  <si>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</si>
  <si>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</si>
  <si>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</si>
  <si>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</si>
  <si>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</si>
  <si>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</si>
  <si>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</si>
  <si>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</si>
  <si>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</si>
  <si>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</si>
  <si>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</si>
  <si>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</si>
  <si>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</si>
  <si>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</si>
  <si>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</si>
  <si>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</si>
  <si>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</si>
  <si>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</si>
  <si>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</si>
  <si>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</si>
  <si>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</si>
  <si>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</si>
  <si>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</si>
  <si>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</si>
  <si>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</si>
  <si>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</si>
  <si>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</si>
  <si>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</si>
  <si>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</si>
  <si>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</si>
  <si>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</si>
  <si>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</si>
  <si>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</si>
  <si>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</si>
  <si>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</si>
  <si>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</si>
  <si>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</si>
  <si>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</si>
  <si>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</si>
  <si>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</si>
  <si>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</si>
  <si>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</si>
  <si>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</si>
  <si>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</si>
  <si>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</si>
  <si>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</si>
  <si>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</si>
  <si>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</si>
  <si>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</si>
  <si>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</si>
  <si>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</si>
  <si>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</si>
  <si>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</si>
  <si>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</si>
  <si>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</si>
  <si>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</si>
  <si>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</si>
  <si>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</si>
  <si>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</si>
  <si>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</si>
  <si>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</si>
  <si>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</si>
  <si>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</si>
  <si>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</si>
  <si>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</si>
  <si>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</si>
  <si>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</si>
  <si>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</si>
  <si>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</si>
  <si>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</si>
  <si>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</si>
  <si>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</si>
  <si>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</si>
  <si>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</si>
  <si>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</si>
  <si>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</si>
  <si>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</si>
  <si>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</si>
  <si>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</si>
  <si>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</si>
  <si>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</si>
  <si>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</si>
  <si>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</si>
  <si>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</si>
  <si>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</si>
  <si>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</si>
  <si>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</si>
  <si>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</si>
  <si>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</si>
  <si>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</si>
  <si>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</si>
  <si>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</si>
  <si>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</si>
  <si>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</si>
  <si>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</si>
  <si>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</si>
  <si>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</si>
  <si>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</si>
  <si>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</si>
  <si>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</si>
  <si>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</si>
  <si>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</si>
  <si>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</si>
  <si>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</si>
  <si>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</si>
  <si>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</si>
  <si>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</si>
  <si>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</si>
  <si>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</si>
  <si>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</si>
  <si>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</si>
  <si>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</si>
  <si>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</si>
  <si>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</si>
  <si>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</si>
  <si>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</si>
  <si>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</si>
  <si>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</si>
  <si>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</si>
  <si>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</si>
  <si>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</si>
  <si>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</si>
  <si>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</si>
  <si>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</si>
  <si>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</si>
  <si>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</si>
  <si>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</si>
  <si>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</si>
  <si>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</si>
  <si>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</si>
  <si>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</si>
  <si>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</si>
  <si>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</si>
  <si>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</si>
  <si>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</si>
  <si>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</si>
  <si>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</si>
  <si>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</si>
  <si>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</si>
  <si>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</si>
  <si>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</si>
  <si>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</si>
  <si>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</si>
  <si>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</si>
  <si>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</si>
  <si>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</si>
  <si>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</si>
  <si>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</si>
  <si>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</si>
  <si>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</si>
  <si>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</si>
  <si>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</si>
  <si>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</si>
  <si>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</si>
  <si>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</si>
  <si>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</si>
  <si>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</si>
  <si>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</si>
  <si>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</si>
  <si>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</si>
  <si>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</si>
  <si>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</si>
  <si>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</si>
  <si>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</si>
  <si>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</si>
  <si>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</si>
  <si>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</si>
  <si>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</si>
  <si>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</si>
  <si>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</si>
  <si>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</si>
  <si>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</si>
  <si>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</si>
  <si>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</si>
  <si>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</si>
  <si>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</si>
  <si>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</si>
  <si>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</si>
  <si>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</si>
  <si>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</si>
  <si>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</si>
  <si>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</si>
  <si>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</si>
  <si>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</si>
  <si>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</si>
  <si>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</si>
  <si>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</si>
  <si>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</si>
  <si>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</si>
  <si>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</si>
  <si>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</si>
  <si>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</si>
  <si>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</si>
  <si>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</si>
  <si>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</si>
  <si>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</si>
  <si>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</si>
  <si>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</si>
  <si>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</si>
  <si>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</si>
  <si>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</si>
  <si>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</si>
  <si>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</si>
  <si>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</si>
  <si>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</si>
  <si>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</si>
  <si>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</si>
  <si>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</si>
  <si>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</si>
  <si>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</si>
  <si>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</si>
  <si>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</si>
  <si>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</si>
  <si>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</si>
  <si>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</si>
  <si>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</si>
  <si>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</si>
  <si>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</si>
  <si>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</si>
  <si>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</si>
  <si>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</si>
  <si>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</si>
  <si>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</si>
  <si>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</si>
  <si>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</si>
  <si>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</si>
  <si>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</si>
  <si>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</si>
  <si>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</si>
  <si>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</si>
  <si>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</si>
  <si>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</si>
  <si>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</si>
  <si>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</si>
  <si>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</si>
  <si>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</si>
  <si>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</si>
  <si>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</si>
  <si>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</si>
  <si>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</si>
  <si>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</si>
  <si>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</si>
  <si>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</si>
  <si>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</si>
  <si>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</si>
  <si>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</si>
  <si>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</si>
  <si>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</si>
  <si>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</si>
  <si>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</si>
  <si>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</si>
  <si>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</si>
  <si>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</si>
  <si>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</si>
  <si>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</si>
  <si>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</si>
  <si>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</si>
  <si>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</si>
  <si>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</si>
  <si>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</si>
  <si>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</si>
  <si>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</si>
  <si>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</si>
  <si>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</si>
  <si>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</si>
  <si>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</si>
  <si>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</si>
  <si>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</si>
  <si>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</si>
  <si>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</si>
  <si>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</si>
  <si>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</si>
  <si>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</si>
  <si>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</si>
  <si>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</si>
  <si>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</si>
  <si>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</si>
  <si>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</si>
  <si>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</si>
  <si>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</si>
  <si>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</si>
  <si>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</si>
  <si>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</si>
  <si>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</si>
  <si>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</si>
  <si>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</si>
  <si>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</si>
  <si>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</si>
  <si>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</si>
  <si>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</si>
  <si>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</si>
  <si>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</si>
  <si>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</si>
  <si>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</si>
  <si>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</si>
  <si>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</si>
  <si>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</si>
  <si>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</si>
  <si>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</si>
  <si>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</si>
  <si>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</si>
  <si>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</si>
  <si>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</si>
  <si>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</si>
  <si>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</si>
  <si>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</si>
  <si>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</si>
  <si>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</si>
  <si>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</si>
  <si>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</si>
  <si>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</si>
  <si>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</si>
  <si>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</si>
  <si>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</si>
  <si>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</si>
  <si>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</si>
  <si>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</si>
  <si>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</si>
  <si>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</si>
  <si>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</si>
  <si>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</si>
  <si>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</si>
  <si>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</si>
  <si>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</si>
  <si>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</si>
  <si>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</si>
  <si>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</si>
  <si>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</si>
  <si>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</si>
  <si>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</si>
  <si>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</si>
  <si>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</si>
  <si>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</si>
  <si>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</si>
  <si>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</si>
  <si>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</si>
  <si>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</si>
  <si>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</si>
  <si>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</si>
  <si>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</si>
  <si>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</si>
  <si>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</si>
  <si>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</si>
  <si>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</si>
  <si>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</si>
  <si>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</si>
  <si>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</si>
  <si>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</si>
  <si>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</si>
  <si>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</si>
  <si>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</si>
  <si>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</si>
  <si>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</si>
  <si>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</si>
  <si>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</si>
  <si>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</si>
  <si>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</si>
  <si>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</si>
  <si>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</si>
  <si>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</si>
  <si>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</si>
  <si>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</si>
  <si>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</si>
  <si>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</si>
  <si>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</si>
  <si>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</si>
  <si>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</si>
  <si>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</si>
  <si>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</si>
  <si>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</si>
  <si>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</si>
  <si>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</si>
  <si>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</si>
  <si>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</si>
  <si>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</si>
  <si>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</si>
  <si>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</si>
  <si>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</si>
  <si>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</si>
  <si>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</si>
  <si>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</si>
  <si>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</si>
  <si>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</si>
  <si>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</si>
  <si>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</si>
  <si>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</si>
  <si>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</si>
  <si>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</si>
  <si>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</si>
  <si>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</si>
  <si>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</si>
  <si>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</si>
  <si>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</si>
  <si>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</si>
  <si>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</si>
  <si>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</si>
  <si>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</si>
  <si>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</si>
  <si>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</si>
  <si>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</si>
  <si>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</si>
  <si>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</si>
  <si>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</si>
  <si>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</si>
  <si>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</si>
  <si>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</si>
  <si>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</si>
  <si>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</si>
  <si>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</si>
  <si>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</si>
  <si>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</si>
  <si>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</si>
  <si>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</si>
  <si>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</si>
  <si>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</si>
  <si>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</si>
  <si>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</si>
  <si>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</si>
  <si>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</si>
  <si>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</si>
  <si>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</si>
  <si>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</si>
  <si>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</si>
  <si>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</si>
  <si>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</si>
  <si>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</si>
  <si>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</si>
  <si>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</si>
  <si>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</si>
  <si>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</si>
  <si>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</si>
  <si>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</si>
  <si>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</si>
  <si>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</si>
  <si>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</si>
  <si>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</si>
  <si>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</si>
  <si>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</si>
  <si>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</si>
  <si>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</si>
  <si>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</si>
  <si>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</si>
  <si>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</si>
  <si>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</si>
  <si>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</si>
  <si>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</si>
  <si>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</si>
  <si>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</si>
  <si>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</si>
  <si>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</si>
  <si>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</si>
  <si>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</si>
  <si>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</si>
  <si>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</si>
  <si>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</si>
  <si>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</si>
  <si>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</si>
  <si>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</si>
  <si>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</si>
  <si>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</si>
  <si>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</si>
  <si>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</si>
  <si>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</si>
  <si>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</si>
  <si>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</si>
  <si>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</si>
  <si>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</si>
  <si>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</si>
  <si>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</si>
  <si>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</si>
  <si>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</si>
  <si>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</si>
  <si>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</si>
  <si>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</si>
  <si>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</si>
  <si>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</si>
  <si>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</si>
  <si>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</si>
  <si>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</si>
  <si>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</si>
  <si>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</si>
  <si>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</si>
  <si>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</si>
  <si>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</si>
  <si>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</si>
  <si>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</si>
  <si>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</si>
  <si>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</si>
  <si>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</si>
  <si>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</si>
  <si>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</si>
  <si>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</si>
  <si>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</si>
  <si>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</si>
  <si>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</si>
  <si>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</si>
  <si>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</si>
  <si>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</si>
  <si>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</si>
  <si>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</si>
  <si>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</si>
  <si>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</si>
  <si>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</si>
  <si>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</si>
  <si>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</si>
  <si>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</si>
  <si>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</si>
  <si>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</si>
  <si>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</si>
  <si>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</si>
  <si>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</si>
  <si>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</si>
  <si>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</si>
  <si>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</si>
  <si>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</si>
  <si>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</si>
  <si>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</si>
  <si>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</si>
  <si>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</si>
  <si>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</si>
  <si>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</si>
  <si>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</si>
  <si>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</si>
  <si>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</si>
  <si>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</si>
  <si>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</si>
  <si>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</si>
  <si>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</si>
  <si>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</si>
  <si>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</si>
  <si>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</si>
  <si>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</si>
  <si>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</si>
  <si>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</si>
  <si>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</si>
  <si>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</si>
  <si>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</si>
  <si>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</si>
  <si>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</si>
  <si>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</si>
  <si>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</si>
  <si>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</si>
  <si>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</si>
  <si>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</si>
  <si>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</si>
  <si>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</si>
  <si>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</si>
  <si>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</si>
  <si>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</si>
  <si>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</si>
  <si>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</si>
  <si>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</si>
  <si>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</si>
  <si>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</si>
  <si>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</si>
  <si>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</si>
  <si>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</si>
  <si>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</si>
  <si>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</si>
  <si>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</si>
  <si>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</si>
  <si>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</si>
  <si>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</si>
  <si>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</si>
  <si>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</si>
  <si>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</si>
  <si>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</si>
  <si>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</si>
  <si>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</si>
  <si>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</si>
  <si>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</si>
  <si>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</si>
  <si>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</si>
  <si>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</si>
  <si>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</si>
  <si>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</si>
  <si>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</si>
  <si>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</si>
  <si>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</si>
  <si>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</si>
  <si>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</si>
  <si>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</si>
  <si>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</si>
  <si>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</si>
  <si>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</si>
  <si>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</si>
  <si>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</si>
  <si>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</si>
  <si>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</si>
  <si>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</si>
  <si>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</si>
  <si>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</si>
  <si>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</si>
  <si>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</si>
  <si>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</si>
  <si>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</si>
  <si>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</si>
  <si>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</si>
  <si>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</si>
  <si>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</si>
  <si>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</si>
  <si>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</si>
  <si>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</si>
  <si>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</si>
  <si>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</si>
  <si>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</si>
  <si>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</si>
  <si>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</si>
  <si>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</si>
  <si>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</si>
  <si>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</si>
  <si>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</si>
  <si>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</si>
  <si>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</si>
  <si>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</si>
  <si>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</si>
  <si>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</si>
  <si>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</si>
  <si>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</si>
  <si>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</si>
  <si>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</si>
  <si>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</si>
  <si>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</si>
  <si>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</si>
  <si>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</si>
  <si>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</si>
  <si>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</si>
  <si>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</si>
  <si>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</si>
  <si>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</si>
  <si>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</si>
  <si>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</si>
  <si>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</si>
  <si>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</si>
  <si>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</si>
  <si>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</si>
  <si>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</si>
  <si>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</si>
  <si>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</si>
  <si>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</si>
  <si>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</si>
  <si>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</si>
  <si>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</si>
  <si>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</si>
  <si>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</si>
  <si>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</si>
  <si>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</si>
  <si>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</si>
  <si>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</si>
  <si>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</si>
  <si>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</si>
  <si>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</si>
  <si>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</si>
  <si>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</si>
  <si>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</si>
  <si>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</si>
  <si>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</si>
  <si>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</si>
  <si>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</si>
  <si>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</si>
  <si>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</si>
  <si>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</si>
  <si>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</si>
  <si>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</si>
  <si>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</si>
  <si>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</si>
  <si>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</si>
  <si>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</si>
  <si>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</si>
  <si>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</si>
  <si>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</si>
  <si>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</si>
  <si>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</si>
  <si>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</si>
  <si>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</si>
  <si>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</si>
  <si>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</si>
  <si>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</si>
  <si>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</si>
  <si>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</si>
  <si>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</si>
  <si>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</si>
  <si>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</si>
  <si>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</si>
  <si>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</si>
  <si>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</si>
  <si>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</si>
  <si>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</si>
  <si>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</si>
  <si>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</si>
  <si>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</si>
  <si>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</si>
  <si>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</si>
  <si>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</si>
  <si>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</si>
  <si>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</si>
  <si>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</si>
  <si>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</si>
  <si>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</si>
  <si>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</si>
  <si>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</si>
  <si>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</si>
  <si>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</si>
  <si>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</si>
  <si>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</si>
  <si>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</si>
  <si>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</si>
  <si>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</si>
  <si>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</si>
  <si>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</si>
  <si>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</si>
  <si>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</si>
  <si>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</si>
  <si>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</si>
  <si>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</si>
  <si>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</si>
  <si>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</si>
  <si>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</si>
  <si>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</si>
  <si>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</si>
  <si>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</si>
  <si>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</si>
  <si>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</si>
  <si>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</si>
  <si>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</si>
  <si>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</si>
  <si>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</si>
  <si>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</si>
  <si>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</si>
  <si>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</si>
  <si>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</si>
  <si>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</si>
  <si>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</si>
  <si>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</si>
  <si>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</si>
  <si>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</si>
  <si>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</si>
  <si>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</si>
  <si>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</si>
  <si>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</si>
  <si>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</si>
  <si>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</si>
  <si>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</si>
  <si>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</si>
  <si>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</si>
  <si>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</si>
  <si>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</si>
  <si>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</si>
  <si>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</si>
  <si>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</si>
  <si>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</si>
  <si>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</si>
  <si>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</si>
  <si>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</si>
  <si>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</si>
  <si>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</si>
  <si>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</si>
  <si>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</si>
  <si>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</si>
  <si>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</si>
  <si>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</si>
  <si>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</si>
  <si>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</si>
  <si>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</si>
  <si>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</si>
  <si>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</si>
  <si>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</si>
  <si>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</si>
  <si>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</si>
  <si>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</si>
  <si>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</si>
  <si>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</si>
  <si>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</si>
  <si>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</si>
  <si>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</si>
  <si>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</si>
  <si>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</si>
  <si>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</si>
  <si>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</si>
  <si>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</si>
  <si>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</si>
  <si>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</si>
  <si>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</si>
  <si>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</si>
  <si>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</si>
  <si>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</si>
  <si>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</si>
  <si>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</si>
  <si>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</si>
  <si>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</si>
  <si>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</si>
  <si>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</si>
  <si>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</si>
  <si>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</si>
  <si>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</si>
  <si>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</si>
  <si>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</si>
  <si>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</si>
  <si>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</si>
  <si>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</si>
  <si>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</si>
  <si>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</si>
  <si>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</si>
  <si>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</si>
  <si>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</si>
  <si>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</si>
  <si>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</si>
  <si>
    <t>Paramètres</t>
  </si>
  <si>
    <t>Résultats</t>
  </si>
  <si>
    <t>Nb jours taf</t>
  </si>
  <si>
    <t>Frais fixes</t>
  </si>
  <si>
    <t>Provisions</t>
  </si>
  <si>
    <t>TJM</t>
  </si>
  <si>
    <t>%Frais</t>
  </si>
  <si>
    <t>%Provisions</t>
  </si>
  <si>
    <t>Charges salariales</t>
  </si>
  <si>
    <t>%Salariales</t>
  </si>
  <si>
    <t>Charges patronales</t>
  </si>
  <si>
    <t>%Patronales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</si>
</sst>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8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NumberFormat="1"/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184150</xdr:colOff>
          <xdr:row>1</xdr:row>
          <xdr:rowOff>38100</xdr:rowOff>
        </xdr:from>
        <xdr:to>
          <xdr:col>14</xdr:col>
          <xdr:colOff>342900</xdr:colOff>
          <xdr:row>3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184150</xdr:colOff>
          <xdr:row>1</xdr:row>
          <xdr:rowOff>38100</xdr:rowOff>
        </xdr:from>
        <xdr:to>
          <xdr:col>14</xdr:col>
          <xdr:colOff>342900</xdr:colOff>
          <xdr:row>3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0" headerRowBorderDxfId="21" tableBorderDxfId="19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4296875" defaultRowHeight="14.5" x14ac:dyDescent="0.35"/>
  <sheetData>
    <row r="2" spans="2:9" ht="15" thickBot="1" x14ac:dyDescent="0.4"/>
    <row r="3" spans="2:9" ht="31.5" thickBot="1" x14ac:dyDescent="0.7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5">
      <c r="B5" s="1" t="s">
        <v>1</v>
      </c>
    </row>
    <row r="7" spans="2:9" x14ac:dyDescent="0.35">
      <c r="B7" s="1" t="s">
        <v>2</v>
      </c>
    </row>
    <row r="8" spans="2:9" x14ac:dyDescent="0.35">
      <c r="B8" s="1" t="s">
        <v>3</v>
      </c>
    </row>
    <row r="9" spans="2:9" x14ac:dyDescent="0.35">
      <c r="B9" s="1" t="s">
        <v>4</v>
      </c>
      <c r="F9" s="58" t="s">
        <v>5</v>
      </c>
    </row>
    <row r="10" spans="2:9" x14ac:dyDescent="0.35">
      <c r="B10" s="1" t="s">
        <v>6</v>
      </c>
    </row>
    <row r="11" spans="2:9" x14ac:dyDescent="0.35">
      <c r="B11" s="1" t="s">
        <v>7</v>
      </c>
    </row>
    <row r="12" spans="2:9" x14ac:dyDescent="0.35">
      <c r="B12" s="1" t="s">
        <v>8</v>
      </c>
    </row>
    <row r="14" spans="2:9" x14ac:dyDescent="0.35">
      <c r="B14" s="1" t="s">
        <v>9</v>
      </c>
    </row>
    <row r="33" spans="21:21" x14ac:dyDescent="0.35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26796-B0E2-4001-AC20-C22D423ECC12}">
  <sheetPr>
    <tabColor theme="7" tint="0.39997558519241921"/>
  </sheetPr>
  <dimension ref="A1:D11"/>
  <sheetViews>
    <sheetView tabSelected="1" workbookViewId="0">
      <selection activeCell="E3" sqref="E3"/>
    </sheetView>
  </sheetViews>
  <sheetFormatPr baseColWidth="10" defaultRowHeight="14.5" x14ac:dyDescent="0.35"/>
  <cols>
    <col min="1" max="1" width="16.7265625" customWidth="1"/>
  </cols>
  <sheetData>
    <row r="1" spans="1:4" x14ac:dyDescent="0.35">
      <c r="B1" t="s">
        <v>27551</v>
      </c>
      <c r="D1" t="s">
        <v>27552</v>
      </c>
    </row>
    <row r="2" spans="1:4" x14ac:dyDescent="0.35">
      <c r="A2" t="s">
        <v>27553</v>
      </c>
      <c r="B2">
        <v>18</v>
      </c>
      <c r="C2" t="s">
        <v>27556</v>
      </c>
      <c r="D2">
        <v>600</v>
      </c>
    </row>
    <row r="3" spans="1:4" x14ac:dyDescent="0.35">
      <c r="A3" t="s">
        <v>27554</v>
      </c>
      <c r="B3">
        <f>D2*B4</f>
        <v>48</v>
      </c>
      <c r="C3" t="s">
        <v>11</v>
      </c>
      <c r="D3">
        <f>D2*B2-B3-B5</f>
        <v>10692</v>
      </c>
    </row>
    <row r="4" spans="1:4" x14ac:dyDescent="0.35">
      <c r="A4" t="s">
        <v>27557</v>
      </c>
      <c r="B4" s="176">
        <v>0.08</v>
      </c>
      <c r="C4" t="s">
        <v>22</v>
      </c>
      <c r="D4">
        <f>D3-B8-B10</f>
        <v>7056.72</v>
      </c>
    </row>
    <row r="5" spans="1:4" x14ac:dyDescent="0.35">
      <c r="A5" t="s">
        <v>27555</v>
      </c>
      <c r="B5" s="217">
        <f>D2*B6</f>
        <v>60</v>
      </c>
    </row>
    <row r="6" spans="1:4" x14ac:dyDescent="0.35">
      <c r="A6" t="s">
        <v>27558</v>
      </c>
      <c r="B6" s="176">
        <v>0.1</v>
      </c>
    </row>
    <row r="8" spans="1:4" x14ac:dyDescent="0.35">
      <c r="A8" t="s">
        <v>27559</v>
      </c>
      <c r="B8">
        <f>D3*B9</f>
        <v>2352.2400000000002</v>
      </c>
    </row>
    <row r="9" spans="1:4" x14ac:dyDescent="0.35">
      <c r="A9" t="s">
        <v>27560</v>
      </c>
      <c r="B9" s="176">
        <v>0.22</v>
      </c>
    </row>
    <row r="10" spans="1:4" x14ac:dyDescent="0.35">
      <c r="A10" t="s">
        <v>27561</v>
      </c>
      <c r="B10">
        <f>D3*B11</f>
        <v>1283.04</v>
      </c>
    </row>
    <row r="11" spans="1:4" x14ac:dyDescent="0.35">
      <c r="A11" t="s">
        <v>27562</v>
      </c>
      <c r="B11" s="176">
        <v>0.12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opLeftCell="A2" zoomScale="87" zoomScaleNormal="115" workbookViewId="0">
      <selection activeCell="L9" sqref="L9"/>
    </sheetView>
  </sheetViews>
  <sheetFormatPr baseColWidth="10" defaultColWidth="8.54296875" defaultRowHeight="14.5" x14ac:dyDescent="0.35"/>
  <cols>
    <col min="1" max="1" width="18.1796875" bestFit="1" customWidth="1"/>
    <col min="2" max="2" width="13.81640625" bestFit="1" customWidth="1"/>
    <col min="3" max="3" width="9.54296875" bestFit="1" customWidth="1"/>
    <col min="4" max="5" width="0" hidden="1" customWidth="1"/>
    <col min="6" max="6" width="8.54296875" hidden="1" customWidth="1"/>
    <col min="8" max="8" width="24.54296875" bestFit="1" customWidth="1"/>
    <col min="10" max="10" width="17" bestFit="1" customWidth="1"/>
    <col min="11" max="11" width="9.453125" bestFit="1" customWidth="1"/>
    <col min="13" max="13" width="10.54296875" bestFit="1" customWidth="1"/>
  </cols>
  <sheetData>
    <row r="2" spans="1:21" x14ac:dyDescent="0.35">
      <c r="U2" s="29">
        <v>21.67</v>
      </c>
    </row>
    <row r="3" spans="1:21" ht="15" thickBot="1" x14ac:dyDescent="0.4"/>
    <row r="4" spans="1:21" ht="15" thickBot="1" x14ac:dyDescent="0.4">
      <c r="A4" s="30" t="s">
        <v>11</v>
      </c>
      <c r="B4" s="35">
        <v>58979.701271121987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4">
      <c r="A5" s="30" t="s">
        <v>11</v>
      </c>
      <c r="B5" s="35">
        <f>B4/12</f>
        <v>4914.9751059268319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4">
      <c r="A6" s="30" t="s">
        <v>16</v>
      </c>
      <c r="B6" s="35">
        <f>'BS . Avec prov'!E42</f>
        <v>1060.9862218144335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4">
      <c r="A7" s="30" t="s">
        <v>18</v>
      </c>
      <c r="B7" s="35">
        <f>'BS . Avec prov'!G42</f>
        <v>2178.6612577095461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4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4">
      <c r="A9" s="30" t="s">
        <v>22</v>
      </c>
      <c r="B9" s="36">
        <f>'BS . Avec prov'!E46</f>
        <v>3754.9888841123975</v>
      </c>
      <c r="H9" s="30" t="s">
        <v>23</v>
      </c>
      <c r="J9" s="184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4">
      <c r="A10" s="30" t="s">
        <v>24</v>
      </c>
      <c r="B10" s="36">
        <f>B5+B7+M7+J11+M8+M9+M10+M12+M13+M23</f>
        <v>9000.0000000000146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4">
      <c r="B11" s="32">
        <f>B10*12</f>
        <v>108000.00000000017</v>
      </c>
      <c r="C11" s="34" t="s">
        <v>12</v>
      </c>
      <c r="H11" s="30" t="s">
        <v>26</v>
      </c>
      <c r="J11" s="32">
        <v>198</v>
      </c>
    </row>
    <row r="12" spans="1:21" ht="15" thickBot="1" x14ac:dyDescent="0.4">
      <c r="B12" s="32">
        <f>B10/J5</f>
        <v>500.0000000000008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4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4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4">
      <c r="F15" s="38"/>
      <c r="H15" s="30" t="s">
        <v>31</v>
      </c>
      <c r="J15" s="32">
        <f>J14+J11+M7+M12+M8+M9+M13+M10+M23</f>
        <v>9000</v>
      </c>
    </row>
    <row r="16" spans="1:21" ht="15" thickBot="1" x14ac:dyDescent="0.4">
      <c r="F16" s="38"/>
    </row>
    <row r="17" spans="2:21" ht="15" thickBot="1" x14ac:dyDescent="0.4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4">
      <c r="F18" s="38"/>
    </row>
    <row r="19" spans="2:21" ht="15" thickBot="1" x14ac:dyDescent="0.4">
      <c r="H19" s="30" t="s">
        <v>34</v>
      </c>
      <c r="J19" s="43">
        <v>0.1</v>
      </c>
      <c r="K19" s="38">
        <f>'BS . Avec prov'!E43*'1. Calcul Avec prov'!J19</f>
        <v>399.6227926119077</v>
      </c>
    </row>
    <row r="20" spans="2:21" ht="15" thickBot="1" x14ac:dyDescent="0.4"/>
    <row r="21" spans="2:21" ht="15" thickBot="1" x14ac:dyDescent="0.4">
      <c r="H21" s="30" t="s">
        <v>35</v>
      </c>
      <c r="J21" s="97">
        <v>198</v>
      </c>
    </row>
    <row r="22" spans="2:21" ht="15" thickBot="1" x14ac:dyDescent="0.4">
      <c r="M22" s="1"/>
      <c r="O22" s="90"/>
    </row>
    <row r="23" spans="2:21" ht="15" thickBot="1" x14ac:dyDescent="0.4">
      <c r="H23" s="30" t="s">
        <v>36</v>
      </c>
      <c r="J23" s="110" t="s">
        <v>33</v>
      </c>
      <c r="N23" s="34"/>
      <c r="O23" s="90"/>
    </row>
    <row r="24" spans="2:21" ht="15" thickBot="1" x14ac:dyDescent="0.4">
      <c r="B24" s="1"/>
      <c r="M24" s="34" t="s">
        <v>37</v>
      </c>
      <c r="N24" s="90"/>
    </row>
    <row r="25" spans="2:21" ht="15" thickBot="1" x14ac:dyDescent="0.4">
      <c r="H25" s="30" t="s">
        <v>38</v>
      </c>
      <c r="J25" s="183">
        <v>77077</v>
      </c>
      <c r="M25" s="92" t="str">
        <f>VLOOKUP(J25,tauxTransport.20240102!A:C,2,FALSE)</f>
        <v>Chambry</v>
      </c>
    </row>
    <row r="26" spans="2:21" x14ac:dyDescent="0.35">
      <c r="J26" s="174"/>
      <c r="M26" s="92" t="str">
        <f>VLOOKUP(J25,tauxTransport.20240102!A:H,3,FALSE)</f>
        <v>ILE-DE-FRANCE MOBILITES</v>
      </c>
    </row>
    <row r="27" spans="2:21" x14ac:dyDescent="0.35">
      <c r="J27" s="174"/>
      <c r="M27">
        <f>VLOOKUP(J25,tauxTransport.20240102!A:H,8,FALSE)</f>
        <v>1.2000000000000002</v>
      </c>
      <c r="N27" s="180" t="s">
        <v>39</v>
      </c>
      <c r="O27" s="91"/>
    </row>
    <row r="28" spans="2:21" x14ac:dyDescent="0.35">
      <c r="J28" s="175" t="s">
        <v>40</v>
      </c>
      <c r="K28" s="175"/>
      <c r="L28" s="175"/>
      <c r="M28" s="175"/>
      <c r="N28" s="175"/>
      <c r="O28" s="175"/>
    </row>
    <row r="29" spans="2:21" x14ac:dyDescent="0.35">
      <c r="J29" s="178" t="s">
        <v>41</v>
      </c>
    </row>
    <row r="31" spans="2:21" x14ac:dyDescent="0.35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184150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4296875" defaultRowHeight="14.5" x14ac:dyDescent="0.35"/>
  <cols>
    <col min="1" max="1" width="18.1796875" bestFit="1" customWidth="1"/>
    <col min="2" max="2" width="13.81640625" bestFit="1" customWidth="1"/>
    <col min="3" max="3" width="9.54296875" bestFit="1" customWidth="1"/>
    <col min="4" max="5" width="0" hidden="1" customWidth="1"/>
    <col min="6" max="6" width="8.54296875" hidden="1" customWidth="1"/>
    <col min="8" max="8" width="24.54296875" bestFit="1" customWidth="1"/>
    <col min="10" max="10" width="17" customWidth="1"/>
    <col min="13" max="13" width="10.54296875" bestFit="1" customWidth="1"/>
  </cols>
  <sheetData>
    <row r="2" spans="1:21" x14ac:dyDescent="0.35">
      <c r="U2" s="29">
        <v>21.67</v>
      </c>
    </row>
    <row r="3" spans="1:21" ht="15" thickBot="1" x14ac:dyDescent="0.4"/>
    <row r="4" spans="1:21" ht="15" thickBot="1" x14ac:dyDescent="0.4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4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4">
      <c r="A6" s="30" t="s">
        <v>16</v>
      </c>
      <c r="B6" s="35">
        <f>'BS . Sans prov'!E42</f>
        <v>1186.5401848683246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4">
      <c r="A7" s="30" t="s">
        <v>18</v>
      </c>
      <c r="B7" s="35">
        <f>'BS . Sans prov'!G42</f>
        <v>2446.752654521069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4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4">
      <c r="A9" s="30" t="s">
        <v>22</v>
      </c>
      <c r="B9" s="36">
        <f>'BS . Sans prov'!E44</f>
        <v>4250.7071606106074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4">
      <c r="A10" s="30" t="s">
        <v>24</v>
      </c>
      <c r="B10" s="36">
        <f>B5+B7+M7+J10+M8+M11+M9+M12+M22</f>
        <v>9000.0000000000018</v>
      </c>
      <c r="C10" s="34" t="s">
        <v>14</v>
      </c>
      <c r="H10" s="30" t="s">
        <v>26</v>
      </c>
      <c r="J10" s="33">
        <v>198</v>
      </c>
    </row>
    <row r="11" spans="1:21" ht="15" thickBot="1" x14ac:dyDescent="0.4">
      <c r="B11" s="32">
        <f>B10*12</f>
        <v>108000.00000000003</v>
      </c>
      <c r="C11" s="34" t="s">
        <v>12</v>
      </c>
      <c r="H11" s="30" t="s">
        <v>28</v>
      </c>
      <c r="J11" s="96">
        <f>'1. Calcul Avec prov'!J12</f>
        <v>0</v>
      </c>
      <c r="M11" s="32">
        <f>J11</f>
        <v>0</v>
      </c>
      <c r="N11" s="34" t="s">
        <v>20</v>
      </c>
    </row>
    <row r="12" spans="1:21" ht="15" thickBot="1" x14ac:dyDescent="0.4">
      <c r="B12" s="32">
        <f>B10/J5</f>
        <v>500.00000000000011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4">
      <c r="H13" s="30" t="s">
        <v>30</v>
      </c>
      <c r="J13" s="32">
        <f>J6-M7-M8-J10-M11-M9-M12-M22</f>
        <v>7983</v>
      </c>
    </row>
    <row r="14" spans="1:21" ht="15" thickBot="1" x14ac:dyDescent="0.4">
      <c r="F14" s="38"/>
      <c r="H14" s="30" t="s">
        <v>31</v>
      </c>
      <c r="J14" s="32">
        <f>J13+J10+M7+M11+M8+M9+M12+M22</f>
        <v>9000</v>
      </c>
    </row>
    <row r="15" spans="1:21" ht="15" thickBot="1" x14ac:dyDescent="0.4">
      <c r="F15" s="38"/>
    </row>
    <row r="16" spans="1:21" ht="15" thickBot="1" x14ac:dyDescent="0.4">
      <c r="F16" s="38"/>
      <c r="H16" s="30" t="s">
        <v>32</v>
      </c>
      <c r="J16" s="123" t="str">
        <f>'1. Calcul Avec prov'!J17</f>
        <v>Oui</v>
      </c>
      <c r="M16" s="32">
        <f>VLOOKUP(J16,TabMutuelle[],2,FALSE)</f>
        <v>30</v>
      </c>
      <c r="N16" s="34" t="s">
        <v>20</v>
      </c>
    </row>
    <row r="17" spans="6:14" ht="15" thickBot="1" x14ac:dyDescent="0.4"/>
    <row r="18" spans="6:14" ht="15" thickBot="1" x14ac:dyDescent="0.4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425.07071606106075</v>
      </c>
    </row>
    <row r="19" spans="6:14" ht="15" thickBot="1" x14ac:dyDescent="0.4"/>
    <row r="20" spans="6:14" ht="15" thickBot="1" x14ac:dyDescent="0.4">
      <c r="H20" s="30" t="s">
        <v>35</v>
      </c>
      <c r="J20" s="32">
        <f>'1. Calcul Avec prov'!J21</f>
        <v>198</v>
      </c>
    </row>
    <row r="21" spans="6:14" ht="15" thickBot="1" x14ac:dyDescent="0.4"/>
    <row r="22" spans="6:14" ht="15" thickBot="1" x14ac:dyDescent="0.4">
      <c r="H22" s="30" t="s">
        <v>36</v>
      </c>
      <c r="J22" s="111" t="str">
        <f>'1. Calcul Avec prov'!J23</f>
        <v>Oui</v>
      </c>
      <c r="N22" s="34"/>
    </row>
    <row r="34" spans="21:21" x14ac:dyDescent="0.35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184150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21" zoomScale="91" zoomScaleNormal="130" workbookViewId="0">
      <selection activeCell="E43" sqref="E43"/>
    </sheetView>
  </sheetViews>
  <sheetFormatPr baseColWidth="10" defaultColWidth="10.81640625" defaultRowHeight="14.5" x14ac:dyDescent="0.35"/>
  <cols>
    <col min="1" max="1" width="1.453125" style="44" customWidth="1"/>
    <col min="2" max="2" width="44.54296875" style="44" customWidth="1"/>
    <col min="3" max="3" width="20.453125" style="44" bestFit="1" customWidth="1"/>
    <col min="4" max="4" width="16" style="44" customWidth="1"/>
    <col min="5" max="5" width="16.453125" style="44" customWidth="1"/>
    <col min="6" max="6" width="26" style="189" customWidth="1"/>
    <col min="7" max="7" width="13.54296875" style="189" customWidth="1"/>
    <col min="8" max="63" width="10.81640625" style="189"/>
    <col min="64" max="16384" width="10.81640625" style="44"/>
  </cols>
  <sheetData>
    <row r="1" spans="1:6" ht="49.4" customHeight="1" x14ac:dyDescent="0.35">
      <c r="F1" s="189" t="s">
        <v>10</v>
      </c>
    </row>
    <row r="2" spans="1:6" ht="15" customHeight="1" x14ac:dyDescent="0.35">
      <c r="B2" s="194" t="s">
        <v>42</v>
      </c>
      <c r="C2" s="194"/>
      <c r="D2" s="194"/>
      <c r="E2" s="194"/>
    </row>
    <row r="3" spans="1:6" ht="23.5" customHeight="1" x14ac:dyDescent="0.35">
      <c r="B3" s="195"/>
      <c r="C3" s="195"/>
      <c r="D3" s="195"/>
      <c r="E3" s="195"/>
    </row>
    <row r="4" spans="1:6" ht="25.4" customHeight="1" x14ac:dyDescent="0.35">
      <c r="B4" s="190" t="s">
        <v>43</v>
      </c>
      <c r="C4" s="191"/>
      <c r="D4" s="86"/>
      <c r="E4" s="135" t="s">
        <v>44</v>
      </c>
    </row>
    <row r="5" spans="1:6" x14ac:dyDescent="0.35">
      <c r="B5" s="45" t="s">
        <v>13</v>
      </c>
      <c r="C5" s="196">
        <f>'1. Calcul Avec prov'!J4</f>
        <v>500</v>
      </c>
      <c r="D5" s="196"/>
      <c r="E5" s="87"/>
    </row>
    <row r="6" spans="1:6" x14ac:dyDescent="0.35">
      <c r="B6" s="46" t="s">
        <v>45</v>
      </c>
      <c r="C6" s="197">
        <f>'1. Calcul Avec prov'!J5</f>
        <v>18</v>
      </c>
      <c r="D6" s="197"/>
      <c r="E6" s="129"/>
    </row>
    <row r="7" spans="1:6" x14ac:dyDescent="0.35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5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5">
      <c r="B9" s="94" t="s">
        <v>47</v>
      </c>
      <c r="D9" s="192">
        <f>'1. Calcul Avec prov'!J7</f>
        <v>0.08</v>
      </c>
      <c r="E9" s="193"/>
    </row>
    <row r="10" spans="1:6" x14ac:dyDescent="0.35">
      <c r="B10" s="94" t="s">
        <v>36</v>
      </c>
      <c r="D10" s="108"/>
      <c r="E10" s="109" t="str">
        <f>'1. Calcul Avec prov'!J23</f>
        <v>Oui</v>
      </c>
    </row>
    <row r="11" spans="1:6" x14ac:dyDescent="0.35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5">
      <c r="B12" s="52"/>
      <c r="C12" s="51"/>
      <c r="D12" s="50"/>
      <c r="E12" s="129"/>
    </row>
    <row r="13" spans="1:6" x14ac:dyDescent="0.35">
      <c r="A13" s="185"/>
      <c r="B13" s="51" t="s">
        <v>32</v>
      </c>
      <c r="C13" s="51"/>
      <c r="D13" s="50"/>
      <c r="E13" s="186" t="str">
        <f>'1. Calcul Avec prov'!J17</f>
        <v>Oui</v>
      </c>
    </row>
    <row r="14" spans="1:6" x14ac:dyDescent="0.35">
      <c r="A14" s="185"/>
      <c r="B14" s="94" t="s">
        <v>49</v>
      </c>
      <c r="C14" s="51"/>
      <c r="D14" s="50"/>
      <c r="E14" s="129">
        <f>'1. Calcul Avec prov'!M17</f>
        <v>30</v>
      </c>
    </row>
    <row r="15" spans="1:6" x14ac:dyDescent="0.35">
      <c r="A15" s="47"/>
      <c r="B15" s="52"/>
      <c r="E15" s="129"/>
    </row>
    <row r="16" spans="1:6" x14ac:dyDescent="0.35">
      <c r="B16" s="52" t="s">
        <v>28</v>
      </c>
      <c r="D16" s="88"/>
      <c r="E16" s="129">
        <f>'1. Calcul Avec prov'!M12</f>
        <v>0</v>
      </c>
    </row>
    <row r="17" spans="1:63" ht="11.5" customHeight="1" x14ac:dyDescent="0.35">
      <c r="A17" s="47"/>
      <c r="B17" s="52"/>
      <c r="E17" s="129"/>
    </row>
    <row r="18" spans="1:63" x14ac:dyDescent="0.35">
      <c r="A18" s="47"/>
      <c r="B18" s="52" t="s">
        <v>50</v>
      </c>
      <c r="D18" s="88"/>
      <c r="E18" s="129">
        <f>'1. Calcul Avec prov'!J13</f>
        <v>99</v>
      </c>
    </row>
    <row r="19" spans="1:63" ht="10.9" customHeight="1" x14ac:dyDescent="0.35">
      <c r="A19" s="47"/>
      <c r="B19" s="52"/>
      <c r="E19" s="129"/>
    </row>
    <row r="20" spans="1:63" s="151" customFormat="1" x14ac:dyDescent="0.35">
      <c r="B20" s="142" t="s">
        <v>51</v>
      </c>
      <c r="C20" s="44"/>
      <c r="D20" s="88"/>
      <c r="E20" s="130">
        <f>'1. Calcul Avec prov'!M8+'1. Calcul Avec prov'!M9+'1. Calcul Avec prov'!M10</f>
        <v>889.36363636363637</v>
      </c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</row>
    <row r="21" spans="1:63" x14ac:dyDescent="0.35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49999999999999" customHeight="1" x14ac:dyDescent="0.35">
      <c r="A22" s="156"/>
      <c r="B22" s="142" t="s">
        <v>30</v>
      </c>
      <c r="C22" s="44"/>
      <c r="D22" s="88"/>
      <c r="E22" s="53">
        <f>'1. Calcul Avec prov'!J14</f>
        <v>7093.636363636364</v>
      </c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</row>
    <row r="23" spans="1:63" ht="13.15" customHeight="1" x14ac:dyDescent="0.35">
      <c r="B23" s="152" t="s">
        <v>53</v>
      </c>
      <c r="C23" s="153"/>
      <c r="D23" s="154"/>
      <c r="E23" s="155">
        <f>'1. Calcul Avec prov'!B5</f>
        <v>4914.9751059268319</v>
      </c>
    </row>
    <row r="24" spans="1:63" x14ac:dyDescent="0.35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5">
      <c r="B25" s="138" t="s">
        <v>55</v>
      </c>
      <c r="C25" s="164"/>
      <c r="D25" s="164"/>
      <c r="E25" s="132">
        <f>'BS . Avec prov'!G42</f>
        <v>2178.6612577095461</v>
      </c>
    </row>
    <row r="26" spans="1:63" x14ac:dyDescent="0.35">
      <c r="A26" s="95"/>
      <c r="B26" s="143" t="s">
        <v>56</v>
      </c>
      <c r="C26" s="144"/>
      <c r="D26" s="145"/>
      <c r="E26" s="146">
        <f>'BS . Avec prov'!E46</f>
        <v>3754.9888841123975</v>
      </c>
    </row>
    <row r="27" spans="1:63" x14ac:dyDescent="0.35">
      <c r="A27" s="95"/>
      <c r="B27" s="94" t="s">
        <v>57</v>
      </c>
      <c r="C27" s="95"/>
      <c r="D27" s="133"/>
      <c r="E27" s="136">
        <f>'BS . Avec prov'!E42+'3. Template'!E18</f>
        <v>1159.9862218144335</v>
      </c>
    </row>
    <row r="28" spans="1:63" x14ac:dyDescent="0.35">
      <c r="A28" s="185"/>
      <c r="B28" s="51" t="s">
        <v>58</v>
      </c>
      <c r="C28" s="95"/>
      <c r="D28" s="133"/>
      <c r="E28" s="137">
        <f>'BS . Avec prov'!E47+'BS . Avec prov'!E48</f>
        <v>198</v>
      </c>
    </row>
    <row r="29" spans="1:63" x14ac:dyDescent="0.35">
      <c r="B29" s="143" t="s">
        <v>59</v>
      </c>
      <c r="C29" s="144"/>
      <c r="D29" s="145"/>
      <c r="E29" s="146">
        <f>E26+E28</f>
        <v>3952.9888841123975</v>
      </c>
    </row>
    <row r="30" spans="1:63" ht="23.15" customHeight="1" x14ac:dyDescent="0.35">
      <c r="A30" s="185"/>
      <c r="B30" s="139" t="s">
        <v>60</v>
      </c>
      <c r="C30" s="140"/>
      <c r="D30" s="134"/>
      <c r="E30" s="141">
        <f>'BS . Avec prov'!E51</f>
        <v>495.71827649820989</v>
      </c>
    </row>
    <row r="31" spans="1:63" ht="13.9" customHeight="1" x14ac:dyDescent="0.35">
      <c r="B31" s="158"/>
      <c r="C31" s="159"/>
      <c r="D31" s="160"/>
      <c r="E31" s="159"/>
    </row>
    <row r="32" spans="1:63" x14ac:dyDescent="0.35">
      <c r="B32" s="161" t="s">
        <v>61</v>
      </c>
      <c r="C32" s="162"/>
      <c r="D32" s="163"/>
      <c r="E32" s="170">
        <f>(E30+E29)/(E7-E8-E11)</f>
        <v>0.55044632029331941</v>
      </c>
    </row>
    <row r="33" spans="2:5" ht="9.65" customHeight="1" thickBot="1" x14ac:dyDescent="0.4">
      <c r="B33" s="51"/>
    </row>
    <row r="34" spans="2:5" ht="24" customHeight="1" thickBot="1" x14ac:dyDescent="0.4">
      <c r="B34" s="187" t="s">
        <v>62</v>
      </c>
      <c r="C34" s="188"/>
      <c r="D34" s="188"/>
      <c r="E34" s="188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53125"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E45" sqref="E45"/>
    </sheetView>
  </sheetViews>
  <sheetFormatPr baseColWidth="10" defaultColWidth="8.54296875" defaultRowHeight="14.5" x14ac:dyDescent="0.35"/>
  <cols>
    <col min="1" max="1" width="7" customWidth="1"/>
    <col min="2" max="2" width="42.453125" customWidth="1"/>
    <col min="3" max="4" width="9.453125" bestFit="1" customWidth="1"/>
    <col min="5" max="5" width="11.453125" bestFit="1" customWidth="1"/>
    <col min="6" max="6" width="8.453125" customWidth="1"/>
    <col min="7" max="7" width="10.453125" customWidth="1"/>
    <col min="9" max="9" width="27.54296875" hidden="1" customWidth="1"/>
    <col min="10" max="10" width="11.54296875" hidden="1" customWidth="1"/>
    <col min="11" max="11" width="17.453125" hidden="1" customWidth="1"/>
    <col min="12" max="13" width="12" hidden="1" customWidth="1"/>
    <col min="14" max="14" width="12.54296875" hidden="1" customWidth="1"/>
    <col min="15" max="15" width="12.54296875" customWidth="1"/>
    <col min="16" max="16" width="11.54296875" customWidth="1"/>
    <col min="17" max="17" width="12" customWidth="1"/>
    <col min="18" max="18" width="17" customWidth="1"/>
    <col min="19" max="19" width="9.54296875" customWidth="1"/>
    <col min="20" max="20" width="12" customWidth="1"/>
    <col min="21" max="21" width="12.54296875" customWidth="1"/>
    <col min="22" max="22" width="9.54296875" customWidth="1"/>
    <col min="23" max="23" width="27.453125" bestFit="1" customWidth="1"/>
    <col min="24" max="24" width="9" bestFit="1" customWidth="1"/>
  </cols>
  <sheetData>
    <row r="1" spans="1:26" x14ac:dyDescent="0.35">
      <c r="A1" s="203" t="s">
        <v>63</v>
      </c>
      <c r="B1" s="204"/>
      <c r="C1" s="204"/>
      <c r="D1" s="204"/>
      <c r="E1" s="204"/>
      <c r="F1" s="204"/>
      <c r="G1" s="204"/>
    </row>
    <row r="2" spans="1:26" x14ac:dyDescent="0.35">
      <c r="A2" t="s">
        <v>64</v>
      </c>
      <c r="C2" s="105">
        <v>11.65</v>
      </c>
      <c r="G2" s="1"/>
      <c r="J2" s="104"/>
    </row>
    <row r="3" spans="1:26" x14ac:dyDescent="0.35">
      <c r="C3" s="203" t="s">
        <v>65</v>
      </c>
      <c r="D3" s="204"/>
      <c r="E3" s="204"/>
      <c r="F3" s="204"/>
      <c r="G3" s="205"/>
    </row>
    <row r="4" spans="1:26" ht="29" x14ac:dyDescent="0.35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5">
      <c r="A5" s="3"/>
      <c r="B5" s="8" t="s">
        <v>71</v>
      </c>
      <c r="C5" s="85">
        <f>'1. Calcul Avec prov'!J5</f>
        <v>18</v>
      </c>
      <c r="D5" s="64">
        <f>+E5/C5</f>
        <v>273.05417255149064</v>
      </c>
      <c r="E5" s="20">
        <f>'1. Calcul Avec prov'!B5</f>
        <v>4914.9751059268319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5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5">
      <c r="A7" s="3"/>
      <c r="B7" s="3" t="s">
        <v>76</v>
      </c>
      <c r="C7" s="84">
        <f>'1. Calcul Avec prov'!J5</f>
        <v>18</v>
      </c>
      <c r="D7" s="4">
        <f>(D5/1.1/1.05)-D6</f>
        <v>79.657292252372855</v>
      </c>
      <c r="E7" s="4">
        <f>+C7*D7</f>
        <v>1433.8312605427113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5">
      <c r="A8" s="3"/>
      <c r="B8" s="3" t="s">
        <v>78</v>
      </c>
      <c r="C8" s="84">
        <f>'1. Calcul Avec prov'!J5</f>
        <v>18</v>
      </c>
      <c r="D8" s="4">
        <f>(D6+D7)*0.05</f>
        <v>11.820526950280978</v>
      </c>
      <c r="E8" s="4">
        <f>+C8*D8</f>
        <v>212.76948510505761</v>
      </c>
      <c r="F8" s="4"/>
      <c r="G8" s="5"/>
      <c r="H8" s="19"/>
      <c r="W8" s="3" t="s">
        <v>79</v>
      </c>
      <c r="X8" s="4">
        <f>IF($E$10&lt;$X$6,0,$E$10-$X$7)</f>
        <v>1050.975105926831</v>
      </c>
      <c r="Y8" s="4"/>
      <c r="Z8" s="5" t="s">
        <v>72</v>
      </c>
    </row>
    <row r="9" spans="1:26" x14ac:dyDescent="0.35">
      <c r="A9" s="3"/>
      <c r="B9" s="3" t="s">
        <v>80</v>
      </c>
      <c r="C9" s="84">
        <f>'1. Calcul Avec prov'!J5</f>
        <v>18</v>
      </c>
      <c r="D9" s="4">
        <f>(D8+D6+D7)*0.1</f>
        <v>24.823106595590058</v>
      </c>
      <c r="E9" s="4">
        <f>+C9*D9</f>
        <v>446.81591872062103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5">
      <c r="A10" s="3"/>
      <c r="B10" s="8" t="s">
        <v>82</v>
      </c>
      <c r="C10" s="85">
        <f>'1. Calcul Avec prov'!J5</f>
        <v>18</v>
      </c>
      <c r="D10" s="64">
        <f>SUM(D6:D9)</f>
        <v>273.05417255149058</v>
      </c>
      <c r="E10" s="64">
        <f>SUM(E6:E9)</f>
        <v>4914.975105926831</v>
      </c>
      <c r="F10" s="20"/>
      <c r="G10" s="8" t="s">
        <v>72</v>
      </c>
      <c r="J10" s="104"/>
    </row>
    <row r="11" spans="1:26" ht="24.5" x14ac:dyDescent="0.35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5">
      <c r="A12" s="67" t="s">
        <v>88</v>
      </c>
      <c r="B12" s="67" t="s">
        <v>89</v>
      </c>
      <c r="C12" s="68">
        <f>+$E$10</f>
        <v>4914.975105926831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638.94676377048802</v>
      </c>
      <c r="H12" s="11" t="s">
        <v>90</v>
      </c>
    </row>
    <row r="13" spans="1:26" x14ac:dyDescent="0.35">
      <c r="A13" s="67" t="s">
        <v>91</v>
      </c>
      <c r="B13" s="67" t="s">
        <v>92</v>
      </c>
      <c r="C13" s="68">
        <f>+$E$10</f>
        <v>4914.975105926831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14.744925317780494</v>
      </c>
      <c r="H13" s="11" t="s">
        <v>90</v>
      </c>
    </row>
    <row r="14" spans="1:26" x14ac:dyDescent="0.35">
      <c r="A14" s="67" t="s">
        <v>93</v>
      </c>
      <c r="B14" s="67" t="s">
        <v>94</v>
      </c>
      <c r="C14" s="68">
        <f>+$E$10</f>
        <v>4914.975105926831</v>
      </c>
      <c r="D14" s="69">
        <v>4.0000000000000001E-3</v>
      </c>
      <c r="E14" s="68">
        <f t="shared" si="0"/>
        <v>19.659900423707324</v>
      </c>
      <c r="F14" s="69">
        <v>2.0199999999999999E-2</v>
      </c>
      <c r="G14" s="68">
        <f t="shared" ref="G14:G36" si="1">+C14*F14</f>
        <v>99.282497139721983</v>
      </c>
      <c r="H14" s="11" t="s">
        <v>90</v>
      </c>
      <c r="W14" t="s">
        <v>10</v>
      </c>
    </row>
    <row r="15" spans="1:26" x14ac:dyDescent="0.35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5">
      <c r="A16" s="67" t="s">
        <v>97</v>
      </c>
      <c r="B16" s="67" t="s">
        <v>98</v>
      </c>
      <c r="C16" s="68">
        <f>+$E$10</f>
        <v>4914.975105926831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169.56664115447569</v>
      </c>
      <c r="H16" s="11" t="s">
        <v>90</v>
      </c>
    </row>
    <row r="17" spans="1:23" x14ac:dyDescent="0.35">
      <c r="A17" s="67" t="s">
        <v>99</v>
      </c>
      <c r="B17" s="67" t="s">
        <v>100</v>
      </c>
      <c r="C17" s="68">
        <f>+$E$10</f>
        <v>4914.975105926831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22.608885487263422</v>
      </c>
      <c r="H17" s="11" t="s">
        <v>90</v>
      </c>
    </row>
    <row r="18" spans="1:23" x14ac:dyDescent="0.35">
      <c r="A18" s="67" t="s">
        <v>101</v>
      </c>
      <c r="B18" s="67" t="s">
        <v>102</v>
      </c>
      <c r="C18" s="68">
        <f>+$E$10</f>
        <v>4914.975105926831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24.574875529634156</v>
      </c>
      <c r="H18" s="11" t="s">
        <v>103</v>
      </c>
    </row>
    <row r="19" spans="1:23" x14ac:dyDescent="0.35">
      <c r="A19" s="67" t="s">
        <v>104</v>
      </c>
      <c r="B19" s="67" t="s">
        <v>105</v>
      </c>
      <c r="C19" s="68">
        <f>+X$7+X$8</f>
        <v>4914.975105926831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199.05649179003666</v>
      </c>
      <c r="H19" t="s">
        <v>90</v>
      </c>
    </row>
    <row r="20" spans="1:23" x14ac:dyDescent="0.35">
      <c r="A20" s="67" t="s">
        <v>106</v>
      </c>
      <c r="B20" s="67" t="s">
        <v>107</v>
      </c>
      <c r="C20" s="68">
        <f>+C19</f>
        <v>4914.975105926831</v>
      </c>
      <c r="D20" s="69">
        <v>0</v>
      </c>
      <c r="E20" s="68">
        <f>+C20*D20</f>
        <v>0</v>
      </c>
      <c r="F20" s="69">
        <v>2E-3</v>
      </c>
      <c r="G20" s="68">
        <f>+F20*C20</f>
        <v>9.8299502118536619</v>
      </c>
      <c r="H20" t="s">
        <v>90</v>
      </c>
    </row>
    <row r="21" spans="1:23" ht="16" x14ac:dyDescent="0.4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8" t="s">
        <v>110</v>
      </c>
      <c r="K21" s="199"/>
      <c r="L21" s="198" t="s">
        <v>111</v>
      </c>
      <c r="M21" s="199"/>
    </row>
    <row r="22" spans="1:23" ht="16" x14ac:dyDescent="0.45">
      <c r="A22" s="67" t="s">
        <v>112</v>
      </c>
      <c r="B22" s="67" t="s">
        <v>113</v>
      </c>
      <c r="C22" s="68">
        <f>+C20-C21</f>
        <v>1050.975105926831</v>
      </c>
      <c r="D22" s="69">
        <v>8.6400000000000005E-2</v>
      </c>
      <c r="E22" s="68">
        <f>+C22*D22</f>
        <v>90.804249152078199</v>
      </c>
      <c r="F22" s="69">
        <v>0.1295</v>
      </c>
      <c r="G22" s="68">
        <f>+C22*F22</f>
        <v>136.10127621752463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5">
      <c r="A23" s="67" t="s">
        <v>119</v>
      </c>
      <c r="B23" s="67" t="s">
        <v>120</v>
      </c>
      <c r="C23" s="68">
        <f>+IF(E$10&lt;X$6,0,E$10)</f>
        <v>4914.975105926831</v>
      </c>
      <c r="D23" s="69">
        <v>1.4E-3</v>
      </c>
      <c r="E23" s="68">
        <f>+C23*D23</f>
        <v>6.8809651482975633</v>
      </c>
      <c r="F23" s="69">
        <v>2.0999999999999999E-3</v>
      </c>
      <c r="G23" s="68">
        <f>+C23*F23</f>
        <v>10.321447722446344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5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5">
      <c r="A25" s="67" t="s">
        <v>122</v>
      </c>
      <c r="B25" s="67" t="s">
        <v>125</v>
      </c>
      <c r="C25" s="68">
        <f>+IF(E$10&lt;X$6,0,(E$10-X$6))</f>
        <v>1050.975105926831</v>
      </c>
      <c r="D25" s="69">
        <v>1.0800000000000001E-2</v>
      </c>
      <c r="E25" s="68">
        <f>+C25*D25</f>
        <v>11.350531144009775</v>
      </c>
      <c r="F25" s="69">
        <v>1.6199999999999999E-2</v>
      </c>
      <c r="G25" s="68">
        <f>+C25*F25</f>
        <v>17.025796716014661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5">
      <c r="A26" s="67" t="s">
        <v>127</v>
      </c>
      <c r="B26" s="67" t="s">
        <v>128</v>
      </c>
      <c r="C26" s="68">
        <f>+C20</f>
        <v>4914.975105926831</v>
      </c>
      <c r="D26" s="69">
        <v>2.4000000000000001E-4</v>
      </c>
      <c r="E26" s="68">
        <f t="shared" si="0"/>
        <v>1.1795940254224395</v>
      </c>
      <c r="F26" s="69">
        <v>3.6000000000000002E-4</v>
      </c>
      <c r="G26" s="68">
        <f t="shared" si="1"/>
        <v>1.7693910381336593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5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5">
      <c r="A28" s="67" t="s">
        <v>133</v>
      </c>
      <c r="B28" s="67" t="s">
        <v>134</v>
      </c>
      <c r="C28" s="68">
        <f>+IF(E$10&lt;X$6,0,(E$10-X$6))</f>
        <v>1050.975105926831</v>
      </c>
      <c r="D28" s="69">
        <v>3.5999999999999999E-3</v>
      </c>
      <c r="E28" s="68">
        <f t="shared" si="0"/>
        <v>3.7835103813365918</v>
      </c>
      <c r="F28" s="69">
        <v>3.5999999999999999E-3</v>
      </c>
      <c r="G28" s="68">
        <f t="shared" si="1"/>
        <v>3.7835103813365918</v>
      </c>
      <c r="I28" s="117" t="s">
        <v>135</v>
      </c>
      <c r="J28" s="121"/>
      <c r="K28" s="125"/>
      <c r="L28" s="118"/>
      <c r="M28" s="119"/>
      <c r="N28" s="120"/>
    </row>
    <row r="29" spans="1:23" x14ac:dyDescent="0.35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prov'!J17="Oui",K24,0)</f>
        <v>45</v>
      </c>
    </row>
    <row r="30" spans="1:23" ht="16" x14ac:dyDescent="0.45">
      <c r="A30" s="67" t="s">
        <v>138</v>
      </c>
      <c r="B30" s="67" t="s">
        <v>139</v>
      </c>
      <c r="C30" s="68">
        <f>+E10</f>
        <v>4914.975105926831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0.78639601694829298</v>
      </c>
      <c r="H30" t="s">
        <v>90</v>
      </c>
      <c r="K30" s="99" t="s">
        <v>32</v>
      </c>
      <c r="L30" s="100" t="s">
        <v>140</v>
      </c>
      <c r="M30" s="113"/>
    </row>
    <row r="31" spans="1:23" x14ac:dyDescent="0.35">
      <c r="A31" s="67" t="s">
        <v>141</v>
      </c>
      <c r="B31" s="67" t="s">
        <v>142</v>
      </c>
      <c r="C31" s="68">
        <f>+E10</f>
        <v>4914.975105926831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33.421830720302452</v>
      </c>
      <c r="H31" t="s">
        <v>90</v>
      </c>
      <c r="K31" s="101" t="s">
        <v>33</v>
      </c>
      <c r="L31" s="171">
        <v>30</v>
      </c>
      <c r="M31" s="114"/>
    </row>
    <row r="32" spans="1:23" x14ac:dyDescent="0.35">
      <c r="A32" s="67" t="s">
        <v>143</v>
      </c>
      <c r="B32" s="67" t="s">
        <v>144</v>
      </c>
      <c r="C32" s="68">
        <f>+E10</f>
        <v>4914.975105926831</v>
      </c>
      <c r="D32" s="69">
        <v>0</v>
      </c>
      <c r="E32" s="68">
        <f>+C32*D32</f>
        <v>0</v>
      </c>
      <c r="F32" s="69">
        <v>1E-4</v>
      </c>
      <c r="G32" s="68">
        <f>+C32*F32</f>
        <v>0.49149751059268315</v>
      </c>
      <c r="K32" s="102" t="s">
        <v>121</v>
      </c>
      <c r="L32" s="172"/>
      <c r="M32" s="114"/>
      <c r="W32" s="93"/>
    </row>
    <row r="33" spans="1:23" x14ac:dyDescent="0.35">
      <c r="A33" s="67" t="s">
        <v>145</v>
      </c>
      <c r="B33" s="67" t="s">
        <v>146</v>
      </c>
      <c r="C33" s="68">
        <f>E10</f>
        <v>4914.975105926831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1.9659900423707326</v>
      </c>
    </row>
    <row r="34" spans="1:23" x14ac:dyDescent="0.35">
      <c r="A34" s="67" t="s">
        <v>147</v>
      </c>
      <c r="B34" s="67" t="s">
        <v>148</v>
      </c>
      <c r="C34" s="68">
        <f>+E10</f>
        <v>4914.975105926831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78.639601694829295</v>
      </c>
      <c r="H34" t="s">
        <v>90</v>
      </c>
      <c r="W34" t="s">
        <v>10</v>
      </c>
    </row>
    <row r="35" spans="1:23" x14ac:dyDescent="0.35">
      <c r="A35" s="67"/>
      <c r="B35" s="67" t="s">
        <v>149</v>
      </c>
      <c r="C35" s="68">
        <f>E10</f>
        <v>4914.975105926831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22.117387976670742</v>
      </c>
      <c r="H35" t="s">
        <v>150</v>
      </c>
    </row>
    <row r="36" spans="1:23" x14ac:dyDescent="0.35">
      <c r="A36" s="67"/>
      <c r="B36" s="67" t="s">
        <v>151</v>
      </c>
      <c r="C36" s="68">
        <f>E10</f>
        <v>4914.975105926831</v>
      </c>
      <c r="D36" s="69">
        <v>0</v>
      </c>
      <c r="E36" s="68">
        <f t="shared" si="2"/>
        <v>0</v>
      </c>
      <c r="F36" s="69">
        <f>tx_taxe_transport/100</f>
        <v>1.2000000000000002E-2</v>
      </c>
      <c r="G36" s="68">
        <f t="shared" si="1"/>
        <v>58.979701271121982</v>
      </c>
      <c r="H36" t="s">
        <v>152</v>
      </c>
    </row>
    <row r="37" spans="1:23" x14ac:dyDescent="0.35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5">
      <c r="A38" s="67" t="s">
        <v>155</v>
      </c>
      <c r="B38" s="67" t="s">
        <v>156</v>
      </c>
      <c r="C38" s="68">
        <f>+C39</f>
        <v>4904.7945519544483</v>
      </c>
      <c r="D38" s="69">
        <v>2.9000000000000001E-2</v>
      </c>
      <c r="E38" s="68">
        <f>+C38*D38</f>
        <v>142.239042006679</v>
      </c>
      <c r="F38" s="69">
        <v>0</v>
      </c>
      <c r="G38" s="68">
        <f>+C38*F38</f>
        <v>0</v>
      </c>
      <c r="H38" t="s">
        <v>90</v>
      </c>
    </row>
    <row r="39" spans="1:23" x14ac:dyDescent="0.35">
      <c r="A39" s="67" t="s">
        <v>157</v>
      </c>
      <c r="B39" s="67" t="s">
        <v>158</v>
      </c>
      <c r="C39" s="68">
        <f>+($E$10-($E$10*1.75%))+$G$27+$G$28+$G$29</f>
        <v>4904.7945519544483</v>
      </c>
      <c r="D39" s="69">
        <v>6.8000000000000005E-2</v>
      </c>
      <c r="E39" s="68">
        <f>+C39*D39</f>
        <v>333.5260295329025</v>
      </c>
      <c r="F39" s="69">
        <v>0</v>
      </c>
      <c r="G39" s="68">
        <f>+C39*F39</f>
        <v>0</v>
      </c>
      <c r="H39" s="19" t="s">
        <v>90</v>
      </c>
    </row>
    <row r="40" spans="1:23" x14ac:dyDescent="0.35">
      <c r="A40" s="6" t="s">
        <v>72</v>
      </c>
      <c r="B40" s="6" t="s">
        <v>159</v>
      </c>
      <c r="C40" s="6" t="s">
        <v>72</v>
      </c>
      <c r="D40" s="6"/>
      <c r="E40" s="7">
        <f>SUM(E12:E39)-E38</f>
        <v>918.74717980775449</v>
      </c>
      <c r="F40" s="7"/>
      <c r="G40" s="20"/>
      <c r="W40" t="s">
        <v>10</v>
      </c>
    </row>
    <row r="41" spans="1:23" x14ac:dyDescent="0.35">
      <c r="A41" s="6" t="s">
        <v>72</v>
      </c>
      <c r="B41" s="6" t="s">
        <v>160</v>
      </c>
      <c r="C41" s="6" t="s">
        <v>72</v>
      </c>
      <c r="D41" s="6"/>
      <c r="E41" s="7">
        <f>+E38</f>
        <v>142.239042006679</v>
      </c>
      <c r="F41" s="7"/>
      <c r="G41" s="8" t="s">
        <v>72</v>
      </c>
    </row>
    <row r="42" spans="1:23" x14ac:dyDescent="0.35">
      <c r="A42" s="75" t="s">
        <v>72</v>
      </c>
      <c r="B42" s="75" t="s">
        <v>161</v>
      </c>
      <c r="C42" s="78">
        <f>'1. Calcul Avec prov'!J5</f>
        <v>18</v>
      </c>
      <c r="D42" s="76">
        <f>E42/C42</f>
        <v>58.943678989690753</v>
      </c>
      <c r="E42" s="76">
        <f>E40+E41</f>
        <v>1060.9862218144335</v>
      </c>
      <c r="F42" s="76">
        <f>G42/C42</f>
        <v>121.03673653941922</v>
      </c>
      <c r="G42" s="77">
        <f>SUM(G12:G39)</f>
        <v>2178.6612577095461</v>
      </c>
      <c r="H42" s="107">
        <f>G42/E10</f>
        <v>0.44327004934009928</v>
      </c>
    </row>
    <row r="43" spans="1:23" x14ac:dyDescent="0.35">
      <c r="A43" s="22" t="s">
        <v>72</v>
      </c>
      <c r="B43" s="22" t="s">
        <v>162</v>
      </c>
      <c r="C43" s="22" t="s">
        <v>72</v>
      </c>
      <c r="D43" s="22"/>
      <c r="E43" s="23">
        <f>+E10-E42+E41</f>
        <v>3996.2279261190765</v>
      </c>
      <c r="F43" s="23"/>
      <c r="G43" s="24" t="s">
        <v>72</v>
      </c>
    </row>
    <row r="44" spans="1:23" x14ac:dyDescent="0.35">
      <c r="A44" s="22"/>
      <c r="B44" s="22" t="s">
        <v>163</v>
      </c>
      <c r="C44" s="81">
        <f>'1. Calcul Avec prov'!J5</f>
        <v>18</v>
      </c>
      <c r="D44" s="89">
        <f>E44/C44</f>
        <v>214.11049356179987</v>
      </c>
      <c r="E44" s="23">
        <f>E10-E42</f>
        <v>3853.9888841123975</v>
      </c>
      <c r="F44" s="23"/>
      <c r="G44" s="24"/>
    </row>
    <row r="45" spans="1:23" x14ac:dyDescent="0.35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5">
      <c r="A46" s="25" t="s">
        <v>72</v>
      </c>
      <c r="B46" s="70" t="s">
        <v>165</v>
      </c>
      <c r="C46" s="79">
        <f>'1. Calcul Avec prov'!J5</f>
        <v>18</v>
      </c>
      <c r="D46" s="71">
        <f>E46/C46</f>
        <v>208.61049356179987</v>
      </c>
      <c r="E46" s="72">
        <f>E10-E42+E45</f>
        <v>3754.9888841123975</v>
      </c>
      <c r="F46" s="26"/>
      <c r="G46" s="27" t="s">
        <v>72</v>
      </c>
    </row>
    <row r="47" spans="1:23" x14ac:dyDescent="0.35">
      <c r="A47" s="25"/>
      <c r="B47" s="25" t="s">
        <v>166</v>
      </c>
      <c r="C47" s="80"/>
      <c r="D47" s="25"/>
      <c r="E47" s="26">
        <f>'1. Calcul Avec prov'!J12</f>
        <v>0</v>
      </c>
      <c r="F47" s="26"/>
      <c r="G47" s="27"/>
    </row>
    <row r="48" spans="1:23" x14ac:dyDescent="0.35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5">
      <c r="A49" s="22" t="s">
        <v>72</v>
      </c>
      <c r="B49" s="22" t="s">
        <v>168</v>
      </c>
      <c r="C49" s="81">
        <f>'1. Calcul Avec prov'!J5</f>
        <v>18</v>
      </c>
      <c r="D49" s="22">
        <f>E49/C49</f>
        <v>394.0909090909098</v>
      </c>
      <c r="E49" s="23">
        <f>+E10+G42</f>
        <v>7093.6363636363767</v>
      </c>
      <c r="F49" s="23"/>
      <c r="G49" s="24" t="s">
        <v>72</v>
      </c>
      <c r="S49" s="18"/>
    </row>
    <row r="50" spans="1:23" hidden="1" x14ac:dyDescent="0.35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3355.3660915004898</v>
      </c>
      <c r="F50" s="26"/>
      <c r="G50" s="27" t="s">
        <v>72</v>
      </c>
      <c r="W50" s="19"/>
    </row>
    <row r="51" spans="1:23" x14ac:dyDescent="0.35">
      <c r="A51" s="25"/>
      <c r="B51" s="25" t="s">
        <v>170</v>
      </c>
      <c r="C51" s="80">
        <f>'1. Calcul Avec prov'!J5</f>
        <v>18</v>
      </c>
      <c r="D51" s="66">
        <f>E51/C51</f>
        <v>27.539904249900548</v>
      </c>
      <c r="E51" s="26">
        <f>E52-E46</f>
        <v>495.71827649820989</v>
      </c>
      <c r="F51" s="26"/>
      <c r="G51" s="27"/>
      <c r="W51" s="19"/>
    </row>
    <row r="52" spans="1:23" x14ac:dyDescent="0.35">
      <c r="A52" s="25"/>
      <c r="B52" s="40" t="s">
        <v>171</v>
      </c>
      <c r="C52" s="83">
        <f>'1. Calcul Avec prov'!J5</f>
        <v>18</v>
      </c>
      <c r="D52" s="65">
        <f>E52/C52</f>
        <v>236.1503978117004</v>
      </c>
      <c r="E52" s="41">
        <f>'2. Calcul Sans prov'!B9</f>
        <v>4250.7071606106074</v>
      </c>
      <c r="F52" s="26"/>
      <c r="G52" s="27"/>
      <c r="W52" s="19"/>
    </row>
    <row r="53" spans="1:23" ht="29" x14ac:dyDescent="0.35">
      <c r="A53" s="25"/>
      <c r="B53" s="63" t="s">
        <v>172</v>
      </c>
      <c r="C53" s="83">
        <f>'1. Calcul Avec prov'!J5</f>
        <v>18</v>
      </c>
      <c r="D53" s="65">
        <f>E53/C53</f>
        <v>247.1503978117004</v>
      </c>
      <c r="E53" s="41">
        <f>E52+E47+E48</f>
        <v>4448.7071606106074</v>
      </c>
      <c r="F53" s="26"/>
      <c r="G53" s="27"/>
    </row>
    <row r="54" spans="1:23" ht="33" customHeight="1" x14ac:dyDescent="0.35">
      <c r="G54" s="1"/>
    </row>
    <row r="55" spans="1:23" x14ac:dyDescent="0.35">
      <c r="B55" t="s">
        <v>173</v>
      </c>
      <c r="C55" s="11">
        <f>+E42/E10</f>
        <v>0.2158680764293231</v>
      </c>
      <c r="G55" s="1"/>
      <c r="K55" t="s">
        <v>174</v>
      </c>
    </row>
    <row r="56" spans="1:23" x14ac:dyDescent="0.35">
      <c r="B56" t="s">
        <v>175</v>
      </c>
      <c r="C56" s="11">
        <f>+G42/E10</f>
        <v>0.44327004934009928</v>
      </c>
      <c r="G56" s="1"/>
    </row>
    <row r="57" spans="1:23" ht="15" thickBot="1" x14ac:dyDescent="0.4"/>
    <row r="58" spans="1:23" ht="15" thickBot="1" x14ac:dyDescent="0.4">
      <c r="B58" s="30" t="s">
        <v>61</v>
      </c>
      <c r="C58" s="60">
        <f>E53/'1. Calcul Avec prov'!J6 *100</f>
        <v>49.430079562340083</v>
      </c>
    </row>
    <row r="61" spans="1:23" ht="15" thickBot="1" x14ac:dyDescent="0.4"/>
    <row r="62" spans="1:23" ht="31.5" customHeight="1" thickBot="1" x14ac:dyDescent="0.4">
      <c r="B62" s="200" t="s">
        <v>176</v>
      </c>
      <c r="C62" s="201"/>
      <c r="D62" s="201"/>
      <c r="E62" s="202"/>
    </row>
    <row r="63" spans="1:23" ht="27" customHeight="1" x14ac:dyDescent="0.35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baseColWidth="10" defaultColWidth="8.54296875" defaultRowHeight="14.5" x14ac:dyDescent="0.35"/>
  <cols>
    <col min="1" max="1" width="12.453125" bestFit="1" customWidth="1"/>
    <col min="2" max="2" width="40.453125" bestFit="1" customWidth="1"/>
    <col min="4" max="4" width="8.453125" bestFit="1" customWidth="1"/>
    <col min="5" max="5" width="9" bestFit="1" customWidth="1"/>
    <col min="7" max="7" width="8.453125" bestFit="1" customWidth="1"/>
    <col min="9" max="10" width="0" hidden="1" customWidth="1"/>
    <col min="11" max="11" width="34.54296875" hidden="1" customWidth="1"/>
    <col min="12" max="12" width="12" hidden="1" customWidth="1"/>
    <col min="13" max="13" width="12.54296875" hidden="1" customWidth="1"/>
    <col min="14" max="14" width="9.5429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4296875" hidden="1" customWidth="1"/>
    <col min="20" max="20" width="0" hidden="1" customWidth="1"/>
    <col min="21" max="21" width="26.54296875" bestFit="1" customWidth="1"/>
  </cols>
  <sheetData>
    <row r="1" spans="1:24" ht="14.5" customHeight="1" x14ac:dyDescent="0.35">
      <c r="A1" s="203" t="s">
        <v>63</v>
      </c>
      <c r="B1" s="204"/>
      <c r="C1" s="204"/>
      <c r="D1" s="204"/>
      <c r="E1" s="204"/>
      <c r="F1" s="204"/>
      <c r="G1" s="204"/>
    </row>
    <row r="2" spans="1:24" x14ac:dyDescent="0.35">
      <c r="A2" t="s">
        <v>64</v>
      </c>
      <c r="B2" s="105">
        <v>11.65</v>
      </c>
      <c r="G2" s="1"/>
    </row>
    <row r="3" spans="1:24" ht="14.5" customHeight="1" x14ac:dyDescent="0.35">
      <c r="C3" s="203" t="s">
        <v>65</v>
      </c>
      <c r="D3" s="204"/>
      <c r="E3" s="204"/>
      <c r="F3" s="204"/>
      <c r="G3" s="205"/>
    </row>
    <row r="4" spans="1:24" ht="43.5" x14ac:dyDescent="0.35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5" customHeight="1" x14ac:dyDescent="0.35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5" customHeight="1" x14ac:dyDescent="0.35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5" customHeight="1" x14ac:dyDescent="0.35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5" customHeight="1" x14ac:dyDescent="0.35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5" customHeight="1" x14ac:dyDescent="0.35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5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5" x14ac:dyDescent="0.35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5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5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5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5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5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5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5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5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5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5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5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5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5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6" t="s">
        <v>181</v>
      </c>
      <c r="M25" s="207"/>
      <c r="N25" s="208"/>
      <c r="O25" s="206" t="s">
        <v>182</v>
      </c>
      <c r="P25" s="207"/>
      <c r="Q25" s="208"/>
      <c r="R25" s="206" t="s">
        <v>183</v>
      </c>
      <c r="S25" s="207"/>
      <c r="T25" s="208"/>
    </row>
    <row r="26" spans="1:20" ht="16" x14ac:dyDescent="0.4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9" t="s">
        <v>185</v>
      </c>
      <c r="K26" s="210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5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1" t="s">
        <v>189</v>
      </c>
      <c r="K27" s="212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5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3"/>
      <c r="K28" s="214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5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prov'!J17="Oui",45,0)</f>
        <v>45</v>
      </c>
      <c r="I29" s="13" t="s">
        <v>129</v>
      </c>
      <c r="J29" s="215"/>
      <c r="K29" s="216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5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5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6" x14ac:dyDescent="0.4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5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5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5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5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>
        <f>tx_taxe_transport/100</f>
        <v>1.2000000000000002E-2</v>
      </c>
      <c r="G36" s="68">
        <f t="shared" ref="G36" si="3">+C36*F36</f>
        <v>66.434968145747192</v>
      </c>
      <c r="H36" t="s">
        <v>152</v>
      </c>
    </row>
    <row r="37" spans="1:17" x14ac:dyDescent="0.35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5">
      <c r="A38" s="67" t="s">
        <v>155</v>
      </c>
      <c r="B38" s="67" t="s">
        <v>156</v>
      </c>
      <c r="C38" s="68">
        <f>+C39</f>
        <v>5517.431107376774</v>
      </c>
      <c r="D38" s="69">
        <v>2.9000000000000001E-2</v>
      </c>
      <c r="E38" s="68">
        <f>+C38*D38</f>
        <v>160.00550211392644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5">
      <c r="A39" s="67" t="s">
        <v>157</v>
      </c>
      <c r="B39" s="67" t="s">
        <v>158</v>
      </c>
      <c r="C39" s="68">
        <f>+($E$10-($E$10*1.75%))+$G$27+$G$28+$G$29</f>
        <v>5517.431107376774</v>
      </c>
      <c r="D39" s="69">
        <v>6.8000000000000005E-2</v>
      </c>
      <c r="E39" s="68">
        <f>+C39*D39</f>
        <v>375.18531530162068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5">
      <c r="A40" s="6" t="s">
        <v>72</v>
      </c>
      <c r="B40" s="6" t="s">
        <v>159</v>
      </c>
      <c r="C40" s="6" t="s">
        <v>72</v>
      </c>
      <c r="D40" s="6"/>
      <c r="E40" s="7">
        <f>SUM(E12:E39)-E38</f>
        <v>1026.5346827543981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5">
      <c r="A41" s="6" t="s">
        <v>72</v>
      </c>
      <c r="B41" s="6" t="s">
        <v>160</v>
      </c>
      <c r="C41" s="6" t="s">
        <v>72</v>
      </c>
      <c r="D41" s="6"/>
      <c r="E41" s="7">
        <f>+E38</f>
        <v>160.00550211392644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5">
      <c r="A42" s="6" t="s">
        <v>72</v>
      </c>
      <c r="B42" s="6" t="s">
        <v>161</v>
      </c>
      <c r="C42" s="6" t="s">
        <v>72</v>
      </c>
      <c r="D42" s="6"/>
      <c r="E42" s="7">
        <f>E40+E41</f>
        <v>1186.5401848683246</v>
      </c>
      <c r="F42" s="21"/>
      <c r="G42" s="20">
        <f>SUM(G12:G39)</f>
        <v>2446.752654521069</v>
      </c>
      <c r="H42" s="107">
        <f>G42/E10</f>
        <v>0.44195147034374499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5">
      <c r="A43" s="22" t="s">
        <v>72</v>
      </c>
      <c r="B43" s="22" t="s">
        <v>193</v>
      </c>
      <c r="C43" s="22" t="s">
        <v>72</v>
      </c>
      <c r="D43" s="22"/>
      <c r="E43" s="23">
        <f>+E10-E42+E41</f>
        <v>4509.7126627245334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5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4250.7071606106074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5">
      <c r="A45" s="25"/>
      <c r="B45" s="25" t="s">
        <v>194</v>
      </c>
      <c r="C45" s="25"/>
      <c r="D45" s="25"/>
      <c r="E45" s="26">
        <f>E44+'2. Calcul Sans prov'!J11</f>
        <v>4250.7071606106074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5">
      <c r="A46" s="22" t="s">
        <v>72</v>
      </c>
      <c r="B46" s="22" t="s">
        <v>195</v>
      </c>
      <c r="C46" s="22" t="s">
        <v>72</v>
      </c>
      <c r="D46" s="22"/>
      <c r="E46" s="23">
        <f>+E10+G42</f>
        <v>7983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5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3825.6364445495465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5">
      <c r="G48" s="1"/>
    </row>
    <row r="49" spans="2:11" hidden="1" x14ac:dyDescent="0.35">
      <c r="B49" t="s">
        <v>173</v>
      </c>
      <c r="C49" s="11">
        <f>+E42/E10</f>
        <v>0.21432210499722154</v>
      </c>
      <c r="G49" s="1"/>
    </row>
    <row r="50" spans="2:11" x14ac:dyDescent="0.35">
      <c r="B50" t="s">
        <v>175</v>
      </c>
      <c r="C50" s="11">
        <f>+G42/E10</f>
        <v>0.44195147034374499</v>
      </c>
      <c r="G50" s="1"/>
      <c r="K50" t="s">
        <v>196</v>
      </c>
    </row>
    <row r="51" spans="2:11" x14ac:dyDescent="0.35">
      <c r="K51" t="s">
        <v>197</v>
      </c>
    </row>
    <row r="52" spans="2:11" x14ac:dyDescent="0.35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G4" sqref="G4"/>
    </sheetView>
  </sheetViews>
  <sheetFormatPr baseColWidth="10" defaultColWidth="11.453125" defaultRowHeight="14.5" x14ac:dyDescent="0.35"/>
  <cols>
    <col min="2" max="2" width="20.7265625" customWidth="1"/>
    <col min="3" max="3" width="42.26953125" customWidth="1"/>
  </cols>
  <sheetData>
    <row r="1" spans="1:16" x14ac:dyDescent="0.35">
      <c r="G1" t="s">
        <v>198</v>
      </c>
    </row>
    <row r="2" spans="1:16" x14ac:dyDescent="0.35">
      <c r="C2" t="s">
        <v>199</v>
      </c>
      <c r="G2" s="176">
        <v>0.25</v>
      </c>
    </row>
    <row r="3" spans="1:16" x14ac:dyDescent="0.35">
      <c r="C3" t="s">
        <v>200</v>
      </c>
      <c r="G3" s="177">
        <v>0.5</v>
      </c>
    </row>
    <row r="5" spans="1:16" x14ac:dyDescent="0.35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 x14ac:dyDescent="0.35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 x14ac:dyDescent="0.35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 x14ac:dyDescent="0.35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 x14ac:dyDescent="0.35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 x14ac:dyDescent="0.35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 x14ac:dyDescent="0.35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 x14ac:dyDescent="0.35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 x14ac:dyDescent="0.35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 x14ac:dyDescent="0.35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 x14ac:dyDescent="0.35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 x14ac:dyDescent="0.35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 x14ac:dyDescent="0.35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 x14ac:dyDescent="0.35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 x14ac:dyDescent="0.35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 x14ac:dyDescent="0.35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 x14ac:dyDescent="0.35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 x14ac:dyDescent="0.35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 x14ac:dyDescent="0.35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 x14ac:dyDescent="0.35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 x14ac:dyDescent="0.35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 x14ac:dyDescent="0.35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 x14ac:dyDescent="0.35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 x14ac:dyDescent="0.35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 x14ac:dyDescent="0.35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 x14ac:dyDescent="0.35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 x14ac:dyDescent="0.35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 x14ac:dyDescent="0.35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 x14ac:dyDescent="0.35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 x14ac:dyDescent="0.35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 x14ac:dyDescent="0.35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 x14ac:dyDescent="0.35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 x14ac:dyDescent="0.35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 x14ac:dyDescent="0.35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 x14ac:dyDescent="0.35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 x14ac:dyDescent="0.35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 x14ac:dyDescent="0.35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 x14ac:dyDescent="0.35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 x14ac:dyDescent="0.35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 x14ac:dyDescent="0.35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 x14ac:dyDescent="0.35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 x14ac:dyDescent="0.35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 x14ac:dyDescent="0.35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 x14ac:dyDescent="0.35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 x14ac:dyDescent="0.35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 x14ac:dyDescent="0.35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 x14ac:dyDescent="0.35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 x14ac:dyDescent="0.35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 x14ac:dyDescent="0.35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 x14ac:dyDescent="0.35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 x14ac:dyDescent="0.35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 x14ac:dyDescent="0.35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 x14ac:dyDescent="0.35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 x14ac:dyDescent="0.35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 x14ac:dyDescent="0.35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 x14ac:dyDescent="0.35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 x14ac:dyDescent="0.35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 x14ac:dyDescent="0.35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 x14ac:dyDescent="0.35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 x14ac:dyDescent="0.35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 x14ac:dyDescent="0.35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 x14ac:dyDescent="0.35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 x14ac:dyDescent="0.35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 x14ac:dyDescent="0.35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 x14ac:dyDescent="0.35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 x14ac:dyDescent="0.35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 x14ac:dyDescent="0.35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 x14ac:dyDescent="0.35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 x14ac:dyDescent="0.35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 x14ac:dyDescent="0.35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 x14ac:dyDescent="0.35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 x14ac:dyDescent="0.35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 x14ac:dyDescent="0.35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 x14ac:dyDescent="0.35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 x14ac:dyDescent="0.35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 x14ac:dyDescent="0.35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 x14ac:dyDescent="0.35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 x14ac:dyDescent="0.35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 x14ac:dyDescent="0.35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 x14ac:dyDescent="0.35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 x14ac:dyDescent="0.35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 x14ac:dyDescent="0.35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 x14ac:dyDescent="0.35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 x14ac:dyDescent="0.35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 x14ac:dyDescent="0.35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 x14ac:dyDescent="0.35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 x14ac:dyDescent="0.35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 x14ac:dyDescent="0.35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 x14ac:dyDescent="0.35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 x14ac:dyDescent="0.35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 x14ac:dyDescent="0.35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 x14ac:dyDescent="0.35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 x14ac:dyDescent="0.35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 x14ac:dyDescent="0.35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 x14ac:dyDescent="0.35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 x14ac:dyDescent="0.35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 x14ac:dyDescent="0.35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 x14ac:dyDescent="0.35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 x14ac:dyDescent="0.35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 x14ac:dyDescent="0.35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 x14ac:dyDescent="0.35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 x14ac:dyDescent="0.35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 x14ac:dyDescent="0.35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 x14ac:dyDescent="0.35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 x14ac:dyDescent="0.35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 x14ac:dyDescent="0.35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 x14ac:dyDescent="0.35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 x14ac:dyDescent="0.35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 x14ac:dyDescent="0.35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 x14ac:dyDescent="0.35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 x14ac:dyDescent="0.35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 x14ac:dyDescent="0.35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 x14ac:dyDescent="0.35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 x14ac:dyDescent="0.35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 x14ac:dyDescent="0.35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 x14ac:dyDescent="0.35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 x14ac:dyDescent="0.35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 x14ac:dyDescent="0.35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 x14ac:dyDescent="0.35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 x14ac:dyDescent="0.35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 x14ac:dyDescent="0.35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 x14ac:dyDescent="0.35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 x14ac:dyDescent="0.35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 x14ac:dyDescent="0.35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 x14ac:dyDescent="0.35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 x14ac:dyDescent="0.35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 x14ac:dyDescent="0.35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 x14ac:dyDescent="0.35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 x14ac:dyDescent="0.35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 x14ac:dyDescent="0.35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 x14ac:dyDescent="0.35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 x14ac:dyDescent="0.35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 x14ac:dyDescent="0.35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 x14ac:dyDescent="0.35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 x14ac:dyDescent="0.35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 x14ac:dyDescent="0.35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 x14ac:dyDescent="0.35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 x14ac:dyDescent="0.35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 x14ac:dyDescent="0.35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 x14ac:dyDescent="0.35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 x14ac:dyDescent="0.35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 x14ac:dyDescent="0.35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 x14ac:dyDescent="0.35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 x14ac:dyDescent="0.35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 x14ac:dyDescent="0.35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 x14ac:dyDescent="0.35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 x14ac:dyDescent="0.35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 x14ac:dyDescent="0.35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 x14ac:dyDescent="0.35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 x14ac:dyDescent="0.35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 x14ac:dyDescent="0.35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 x14ac:dyDescent="0.35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 x14ac:dyDescent="0.35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 x14ac:dyDescent="0.35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 x14ac:dyDescent="0.35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 x14ac:dyDescent="0.35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 x14ac:dyDescent="0.35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 x14ac:dyDescent="0.35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 x14ac:dyDescent="0.35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 x14ac:dyDescent="0.35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 x14ac:dyDescent="0.35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 x14ac:dyDescent="0.35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 x14ac:dyDescent="0.35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 x14ac:dyDescent="0.35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 x14ac:dyDescent="0.35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 x14ac:dyDescent="0.35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 x14ac:dyDescent="0.35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 x14ac:dyDescent="0.35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 x14ac:dyDescent="0.35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 x14ac:dyDescent="0.35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 x14ac:dyDescent="0.35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 x14ac:dyDescent="0.35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 x14ac:dyDescent="0.35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 x14ac:dyDescent="0.35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 x14ac:dyDescent="0.35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 x14ac:dyDescent="0.35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 x14ac:dyDescent="0.35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 x14ac:dyDescent="0.35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 x14ac:dyDescent="0.35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 x14ac:dyDescent="0.35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 x14ac:dyDescent="0.35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 x14ac:dyDescent="0.35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 x14ac:dyDescent="0.35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 x14ac:dyDescent="0.35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 x14ac:dyDescent="0.35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 x14ac:dyDescent="0.35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 x14ac:dyDescent="0.35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 x14ac:dyDescent="0.35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 x14ac:dyDescent="0.35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 x14ac:dyDescent="0.35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 x14ac:dyDescent="0.35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 x14ac:dyDescent="0.35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 x14ac:dyDescent="0.35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 x14ac:dyDescent="0.35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 x14ac:dyDescent="0.35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 x14ac:dyDescent="0.35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 x14ac:dyDescent="0.35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 x14ac:dyDescent="0.35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 x14ac:dyDescent="0.35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 x14ac:dyDescent="0.35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 x14ac:dyDescent="0.35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 x14ac:dyDescent="0.35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 x14ac:dyDescent="0.35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 x14ac:dyDescent="0.35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 x14ac:dyDescent="0.35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 x14ac:dyDescent="0.35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 x14ac:dyDescent="0.35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 x14ac:dyDescent="0.35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 x14ac:dyDescent="0.35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 x14ac:dyDescent="0.35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 x14ac:dyDescent="0.35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 x14ac:dyDescent="0.35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 x14ac:dyDescent="0.35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 x14ac:dyDescent="0.35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 x14ac:dyDescent="0.35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 x14ac:dyDescent="0.35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 x14ac:dyDescent="0.35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 x14ac:dyDescent="0.35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 x14ac:dyDescent="0.35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 x14ac:dyDescent="0.35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 x14ac:dyDescent="0.35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 x14ac:dyDescent="0.35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 x14ac:dyDescent="0.35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 x14ac:dyDescent="0.35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 x14ac:dyDescent="0.35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 x14ac:dyDescent="0.35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 x14ac:dyDescent="0.35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 x14ac:dyDescent="0.35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 x14ac:dyDescent="0.35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 x14ac:dyDescent="0.35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 x14ac:dyDescent="0.35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 x14ac:dyDescent="0.35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 x14ac:dyDescent="0.35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 x14ac:dyDescent="0.35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 x14ac:dyDescent="0.35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 x14ac:dyDescent="0.35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 x14ac:dyDescent="0.35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 x14ac:dyDescent="0.35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 x14ac:dyDescent="0.35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 x14ac:dyDescent="0.35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 x14ac:dyDescent="0.35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 x14ac:dyDescent="0.35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 x14ac:dyDescent="0.35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 x14ac:dyDescent="0.35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 x14ac:dyDescent="0.35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 x14ac:dyDescent="0.35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 x14ac:dyDescent="0.35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 x14ac:dyDescent="0.35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 x14ac:dyDescent="0.35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 x14ac:dyDescent="0.35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 x14ac:dyDescent="0.35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 x14ac:dyDescent="0.35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 x14ac:dyDescent="0.35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 x14ac:dyDescent="0.35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 x14ac:dyDescent="0.35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 x14ac:dyDescent="0.35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 x14ac:dyDescent="0.35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 x14ac:dyDescent="0.35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 x14ac:dyDescent="0.35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 x14ac:dyDescent="0.35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 x14ac:dyDescent="0.35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 x14ac:dyDescent="0.35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 x14ac:dyDescent="0.35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 x14ac:dyDescent="0.35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 x14ac:dyDescent="0.35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 x14ac:dyDescent="0.35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 x14ac:dyDescent="0.35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 x14ac:dyDescent="0.35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 x14ac:dyDescent="0.35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 x14ac:dyDescent="0.35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 x14ac:dyDescent="0.35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 x14ac:dyDescent="0.35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 x14ac:dyDescent="0.35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 x14ac:dyDescent="0.35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 x14ac:dyDescent="0.35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 x14ac:dyDescent="0.35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 x14ac:dyDescent="0.35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 x14ac:dyDescent="0.35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 x14ac:dyDescent="0.35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 x14ac:dyDescent="0.35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 x14ac:dyDescent="0.35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 x14ac:dyDescent="0.35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 x14ac:dyDescent="0.35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 x14ac:dyDescent="0.35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 x14ac:dyDescent="0.35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 x14ac:dyDescent="0.35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 x14ac:dyDescent="0.35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 x14ac:dyDescent="0.35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 x14ac:dyDescent="0.35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 x14ac:dyDescent="0.35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 x14ac:dyDescent="0.35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 x14ac:dyDescent="0.35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 x14ac:dyDescent="0.35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 x14ac:dyDescent="0.35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 x14ac:dyDescent="0.35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 x14ac:dyDescent="0.35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 x14ac:dyDescent="0.35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 x14ac:dyDescent="0.35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 x14ac:dyDescent="0.35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 x14ac:dyDescent="0.35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 x14ac:dyDescent="0.35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 x14ac:dyDescent="0.35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 x14ac:dyDescent="0.35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 x14ac:dyDescent="0.35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 x14ac:dyDescent="0.35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 x14ac:dyDescent="0.35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 x14ac:dyDescent="0.35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 x14ac:dyDescent="0.35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 x14ac:dyDescent="0.35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 x14ac:dyDescent="0.35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 x14ac:dyDescent="0.35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 x14ac:dyDescent="0.35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 x14ac:dyDescent="0.35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 x14ac:dyDescent="0.35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 x14ac:dyDescent="0.35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 x14ac:dyDescent="0.35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 x14ac:dyDescent="0.35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 x14ac:dyDescent="0.35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 x14ac:dyDescent="0.35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 x14ac:dyDescent="0.35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 x14ac:dyDescent="0.35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 x14ac:dyDescent="0.35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 x14ac:dyDescent="0.35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 x14ac:dyDescent="0.35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 x14ac:dyDescent="0.35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 x14ac:dyDescent="0.35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 x14ac:dyDescent="0.35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 x14ac:dyDescent="0.35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 x14ac:dyDescent="0.35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 x14ac:dyDescent="0.35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 x14ac:dyDescent="0.35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 x14ac:dyDescent="0.35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 x14ac:dyDescent="0.35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 x14ac:dyDescent="0.35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 x14ac:dyDescent="0.35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 x14ac:dyDescent="0.35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 x14ac:dyDescent="0.35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 x14ac:dyDescent="0.35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 x14ac:dyDescent="0.35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 x14ac:dyDescent="0.35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 x14ac:dyDescent="0.35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 x14ac:dyDescent="0.35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 x14ac:dyDescent="0.35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 x14ac:dyDescent="0.35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 x14ac:dyDescent="0.35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 x14ac:dyDescent="0.35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 x14ac:dyDescent="0.35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 x14ac:dyDescent="0.35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 x14ac:dyDescent="0.35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 x14ac:dyDescent="0.35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 x14ac:dyDescent="0.35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 x14ac:dyDescent="0.35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 x14ac:dyDescent="0.35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 x14ac:dyDescent="0.35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 x14ac:dyDescent="0.35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 x14ac:dyDescent="0.35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 x14ac:dyDescent="0.35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 x14ac:dyDescent="0.35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 x14ac:dyDescent="0.35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 x14ac:dyDescent="0.35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 x14ac:dyDescent="0.35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 x14ac:dyDescent="0.35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 x14ac:dyDescent="0.35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 x14ac:dyDescent="0.35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 x14ac:dyDescent="0.35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 x14ac:dyDescent="0.35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 x14ac:dyDescent="0.35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 x14ac:dyDescent="0.35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 x14ac:dyDescent="0.35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 x14ac:dyDescent="0.35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 x14ac:dyDescent="0.35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 x14ac:dyDescent="0.35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 x14ac:dyDescent="0.35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 x14ac:dyDescent="0.35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 x14ac:dyDescent="0.35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 x14ac:dyDescent="0.35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 x14ac:dyDescent="0.35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 x14ac:dyDescent="0.35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 x14ac:dyDescent="0.35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 x14ac:dyDescent="0.35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 x14ac:dyDescent="0.35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 x14ac:dyDescent="0.35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 x14ac:dyDescent="0.35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 x14ac:dyDescent="0.35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 x14ac:dyDescent="0.35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 x14ac:dyDescent="0.35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 x14ac:dyDescent="0.35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 x14ac:dyDescent="0.35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 x14ac:dyDescent="0.35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 x14ac:dyDescent="0.35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 x14ac:dyDescent="0.35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 x14ac:dyDescent="0.35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 x14ac:dyDescent="0.35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 x14ac:dyDescent="0.35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 x14ac:dyDescent="0.35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 x14ac:dyDescent="0.35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 x14ac:dyDescent="0.35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 x14ac:dyDescent="0.35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 x14ac:dyDescent="0.35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 x14ac:dyDescent="0.35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 x14ac:dyDescent="0.35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 x14ac:dyDescent="0.35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 x14ac:dyDescent="0.35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 x14ac:dyDescent="0.35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 x14ac:dyDescent="0.35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 x14ac:dyDescent="0.35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 x14ac:dyDescent="0.35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 x14ac:dyDescent="0.35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 x14ac:dyDescent="0.35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 x14ac:dyDescent="0.35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 x14ac:dyDescent="0.35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 x14ac:dyDescent="0.35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 x14ac:dyDescent="0.35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 x14ac:dyDescent="0.35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 x14ac:dyDescent="0.35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 x14ac:dyDescent="0.35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 x14ac:dyDescent="0.35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 x14ac:dyDescent="0.35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 x14ac:dyDescent="0.35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 x14ac:dyDescent="0.35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 x14ac:dyDescent="0.35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 x14ac:dyDescent="0.35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 x14ac:dyDescent="0.35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 x14ac:dyDescent="0.35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 x14ac:dyDescent="0.35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 x14ac:dyDescent="0.35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 x14ac:dyDescent="0.35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 x14ac:dyDescent="0.35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 x14ac:dyDescent="0.35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 x14ac:dyDescent="0.35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 x14ac:dyDescent="0.35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 x14ac:dyDescent="0.35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 x14ac:dyDescent="0.35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 x14ac:dyDescent="0.35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 x14ac:dyDescent="0.35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 x14ac:dyDescent="0.35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 x14ac:dyDescent="0.35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 x14ac:dyDescent="0.35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 x14ac:dyDescent="0.35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 x14ac:dyDescent="0.35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 x14ac:dyDescent="0.35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 x14ac:dyDescent="0.35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 x14ac:dyDescent="0.35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 x14ac:dyDescent="0.35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 x14ac:dyDescent="0.35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 x14ac:dyDescent="0.35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 x14ac:dyDescent="0.35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 x14ac:dyDescent="0.35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 x14ac:dyDescent="0.35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 x14ac:dyDescent="0.35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 x14ac:dyDescent="0.35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 x14ac:dyDescent="0.35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 x14ac:dyDescent="0.35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 x14ac:dyDescent="0.35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 x14ac:dyDescent="0.35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 x14ac:dyDescent="0.35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 x14ac:dyDescent="0.35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 x14ac:dyDescent="0.35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 x14ac:dyDescent="0.35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 x14ac:dyDescent="0.35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 x14ac:dyDescent="0.35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 x14ac:dyDescent="0.35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 x14ac:dyDescent="0.35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 x14ac:dyDescent="0.35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 x14ac:dyDescent="0.35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 x14ac:dyDescent="0.35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 x14ac:dyDescent="0.35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 x14ac:dyDescent="0.35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 x14ac:dyDescent="0.35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 x14ac:dyDescent="0.35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 x14ac:dyDescent="0.35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 x14ac:dyDescent="0.35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 x14ac:dyDescent="0.35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 x14ac:dyDescent="0.35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 x14ac:dyDescent="0.35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 x14ac:dyDescent="0.35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 x14ac:dyDescent="0.35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 x14ac:dyDescent="0.35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 x14ac:dyDescent="0.35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 x14ac:dyDescent="0.35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 x14ac:dyDescent="0.35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 x14ac:dyDescent="0.35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 x14ac:dyDescent="0.35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 x14ac:dyDescent="0.35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 x14ac:dyDescent="0.35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 x14ac:dyDescent="0.35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 x14ac:dyDescent="0.35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 x14ac:dyDescent="0.35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 x14ac:dyDescent="0.35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 x14ac:dyDescent="0.35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 x14ac:dyDescent="0.35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 x14ac:dyDescent="0.35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 x14ac:dyDescent="0.35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 x14ac:dyDescent="0.35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 x14ac:dyDescent="0.35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 x14ac:dyDescent="0.35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 x14ac:dyDescent="0.35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 x14ac:dyDescent="0.35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 x14ac:dyDescent="0.35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 x14ac:dyDescent="0.35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 x14ac:dyDescent="0.35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 x14ac:dyDescent="0.35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 x14ac:dyDescent="0.35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 x14ac:dyDescent="0.35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 x14ac:dyDescent="0.35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 x14ac:dyDescent="0.35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 x14ac:dyDescent="0.35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 x14ac:dyDescent="0.35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 x14ac:dyDescent="0.35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 x14ac:dyDescent="0.35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 x14ac:dyDescent="0.35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 x14ac:dyDescent="0.35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 x14ac:dyDescent="0.35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 x14ac:dyDescent="0.35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 x14ac:dyDescent="0.35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 x14ac:dyDescent="0.35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 x14ac:dyDescent="0.35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 x14ac:dyDescent="0.35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 x14ac:dyDescent="0.35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 x14ac:dyDescent="0.35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 x14ac:dyDescent="0.35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 x14ac:dyDescent="0.35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 x14ac:dyDescent="0.35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 x14ac:dyDescent="0.35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 x14ac:dyDescent="0.35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 x14ac:dyDescent="0.35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 x14ac:dyDescent="0.35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 x14ac:dyDescent="0.35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 x14ac:dyDescent="0.35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 x14ac:dyDescent="0.35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 x14ac:dyDescent="0.35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 x14ac:dyDescent="0.35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 x14ac:dyDescent="0.35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 x14ac:dyDescent="0.35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 x14ac:dyDescent="0.35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 x14ac:dyDescent="0.35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 x14ac:dyDescent="0.35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 x14ac:dyDescent="0.35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 x14ac:dyDescent="0.35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 x14ac:dyDescent="0.35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 x14ac:dyDescent="0.35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 x14ac:dyDescent="0.35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 x14ac:dyDescent="0.35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 x14ac:dyDescent="0.35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 x14ac:dyDescent="0.35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 x14ac:dyDescent="0.35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 x14ac:dyDescent="0.35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 x14ac:dyDescent="0.35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 x14ac:dyDescent="0.35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 x14ac:dyDescent="0.35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 x14ac:dyDescent="0.35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 x14ac:dyDescent="0.35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 x14ac:dyDescent="0.35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 x14ac:dyDescent="0.35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 x14ac:dyDescent="0.35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 x14ac:dyDescent="0.35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 x14ac:dyDescent="0.35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 x14ac:dyDescent="0.35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 x14ac:dyDescent="0.35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 x14ac:dyDescent="0.35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 x14ac:dyDescent="0.35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 x14ac:dyDescent="0.35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 x14ac:dyDescent="0.35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 x14ac:dyDescent="0.35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 x14ac:dyDescent="0.35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 x14ac:dyDescent="0.35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 x14ac:dyDescent="0.35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 x14ac:dyDescent="0.35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 x14ac:dyDescent="0.35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 x14ac:dyDescent="0.35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 x14ac:dyDescent="0.35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 x14ac:dyDescent="0.35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 x14ac:dyDescent="0.35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 x14ac:dyDescent="0.35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 x14ac:dyDescent="0.35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 x14ac:dyDescent="0.35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 x14ac:dyDescent="0.35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 x14ac:dyDescent="0.35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 x14ac:dyDescent="0.35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 x14ac:dyDescent="0.35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 x14ac:dyDescent="0.35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 x14ac:dyDescent="0.35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 x14ac:dyDescent="0.35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 x14ac:dyDescent="0.35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 x14ac:dyDescent="0.35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 x14ac:dyDescent="0.35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 x14ac:dyDescent="0.35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 x14ac:dyDescent="0.35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 x14ac:dyDescent="0.35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 x14ac:dyDescent="0.35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 x14ac:dyDescent="0.35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 x14ac:dyDescent="0.35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 x14ac:dyDescent="0.35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 x14ac:dyDescent="0.35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 x14ac:dyDescent="0.35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 x14ac:dyDescent="0.35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 x14ac:dyDescent="0.35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 x14ac:dyDescent="0.35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 x14ac:dyDescent="0.35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 x14ac:dyDescent="0.35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 x14ac:dyDescent="0.35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 x14ac:dyDescent="0.35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 x14ac:dyDescent="0.35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 x14ac:dyDescent="0.35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 x14ac:dyDescent="0.35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 x14ac:dyDescent="0.35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 x14ac:dyDescent="0.35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 x14ac:dyDescent="0.35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 x14ac:dyDescent="0.35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 x14ac:dyDescent="0.35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 x14ac:dyDescent="0.35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 x14ac:dyDescent="0.35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 x14ac:dyDescent="0.35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 x14ac:dyDescent="0.35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 x14ac:dyDescent="0.35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 x14ac:dyDescent="0.35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 x14ac:dyDescent="0.35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 x14ac:dyDescent="0.35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 x14ac:dyDescent="0.35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 x14ac:dyDescent="0.35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 x14ac:dyDescent="0.35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 x14ac:dyDescent="0.35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 x14ac:dyDescent="0.35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 x14ac:dyDescent="0.35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 x14ac:dyDescent="0.35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 x14ac:dyDescent="0.35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 x14ac:dyDescent="0.35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 x14ac:dyDescent="0.35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 x14ac:dyDescent="0.35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 x14ac:dyDescent="0.35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 x14ac:dyDescent="0.35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 x14ac:dyDescent="0.35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 x14ac:dyDescent="0.35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 x14ac:dyDescent="0.35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 x14ac:dyDescent="0.35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 x14ac:dyDescent="0.35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 x14ac:dyDescent="0.35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 x14ac:dyDescent="0.35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 x14ac:dyDescent="0.35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 x14ac:dyDescent="0.35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 x14ac:dyDescent="0.35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 x14ac:dyDescent="0.35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 x14ac:dyDescent="0.35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 x14ac:dyDescent="0.35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 x14ac:dyDescent="0.35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 x14ac:dyDescent="0.35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 x14ac:dyDescent="0.35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 x14ac:dyDescent="0.35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 x14ac:dyDescent="0.35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 x14ac:dyDescent="0.35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 x14ac:dyDescent="0.35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 x14ac:dyDescent="0.35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 x14ac:dyDescent="0.35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 x14ac:dyDescent="0.35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 x14ac:dyDescent="0.35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 x14ac:dyDescent="0.35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 x14ac:dyDescent="0.35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 x14ac:dyDescent="0.35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 x14ac:dyDescent="0.35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 x14ac:dyDescent="0.35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 x14ac:dyDescent="0.35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 x14ac:dyDescent="0.35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 x14ac:dyDescent="0.35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 x14ac:dyDescent="0.35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 x14ac:dyDescent="0.35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 x14ac:dyDescent="0.35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 x14ac:dyDescent="0.35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 x14ac:dyDescent="0.35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 x14ac:dyDescent="0.35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 x14ac:dyDescent="0.35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 x14ac:dyDescent="0.35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 x14ac:dyDescent="0.35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 x14ac:dyDescent="0.35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 x14ac:dyDescent="0.35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 x14ac:dyDescent="0.35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 x14ac:dyDescent="0.35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 x14ac:dyDescent="0.35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 x14ac:dyDescent="0.35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 x14ac:dyDescent="0.35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 x14ac:dyDescent="0.35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 x14ac:dyDescent="0.35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 x14ac:dyDescent="0.35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 x14ac:dyDescent="0.35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 x14ac:dyDescent="0.35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 x14ac:dyDescent="0.35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 x14ac:dyDescent="0.35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 x14ac:dyDescent="0.35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 x14ac:dyDescent="0.35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 x14ac:dyDescent="0.35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 x14ac:dyDescent="0.35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 x14ac:dyDescent="0.35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 x14ac:dyDescent="0.35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 x14ac:dyDescent="0.35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 x14ac:dyDescent="0.35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 x14ac:dyDescent="0.35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 x14ac:dyDescent="0.35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 x14ac:dyDescent="0.35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 x14ac:dyDescent="0.35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 x14ac:dyDescent="0.35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 x14ac:dyDescent="0.35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 x14ac:dyDescent="0.35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 x14ac:dyDescent="0.35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 x14ac:dyDescent="0.35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 x14ac:dyDescent="0.35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 x14ac:dyDescent="0.35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 x14ac:dyDescent="0.35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 x14ac:dyDescent="0.35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 x14ac:dyDescent="0.35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 x14ac:dyDescent="0.35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 x14ac:dyDescent="0.35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 x14ac:dyDescent="0.35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 x14ac:dyDescent="0.35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 x14ac:dyDescent="0.35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 x14ac:dyDescent="0.35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 x14ac:dyDescent="0.35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 x14ac:dyDescent="0.35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 x14ac:dyDescent="0.35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 x14ac:dyDescent="0.35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 x14ac:dyDescent="0.35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 x14ac:dyDescent="0.35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 x14ac:dyDescent="0.35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 x14ac:dyDescent="0.35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 x14ac:dyDescent="0.35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 x14ac:dyDescent="0.35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 x14ac:dyDescent="0.35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 x14ac:dyDescent="0.35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 x14ac:dyDescent="0.35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 x14ac:dyDescent="0.35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 x14ac:dyDescent="0.35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 x14ac:dyDescent="0.35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 x14ac:dyDescent="0.35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 x14ac:dyDescent="0.35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 x14ac:dyDescent="0.35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 x14ac:dyDescent="0.35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 x14ac:dyDescent="0.35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 x14ac:dyDescent="0.35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 x14ac:dyDescent="0.35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 x14ac:dyDescent="0.35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 x14ac:dyDescent="0.35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 x14ac:dyDescent="0.35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 x14ac:dyDescent="0.35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 x14ac:dyDescent="0.35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 x14ac:dyDescent="0.35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 x14ac:dyDescent="0.35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 x14ac:dyDescent="0.35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 x14ac:dyDescent="0.35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 x14ac:dyDescent="0.35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 x14ac:dyDescent="0.35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 x14ac:dyDescent="0.35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 x14ac:dyDescent="0.35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 x14ac:dyDescent="0.35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 x14ac:dyDescent="0.35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 x14ac:dyDescent="0.35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 x14ac:dyDescent="0.35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 x14ac:dyDescent="0.35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 x14ac:dyDescent="0.35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 x14ac:dyDescent="0.35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 x14ac:dyDescent="0.35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 x14ac:dyDescent="0.35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 x14ac:dyDescent="0.35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 x14ac:dyDescent="0.35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 x14ac:dyDescent="0.35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 x14ac:dyDescent="0.35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 x14ac:dyDescent="0.35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 x14ac:dyDescent="0.35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 x14ac:dyDescent="0.35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 x14ac:dyDescent="0.35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 x14ac:dyDescent="0.35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 x14ac:dyDescent="0.35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 x14ac:dyDescent="0.35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 x14ac:dyDescent="0.35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 x14ac:dyDescent="0.35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 x14ac:dyDescent="0.35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 x14ac:dyDescent="0.35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 x14ac:dyDescent="0.35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 x14ac:dyDescent="0.35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 x14ac:dyDescent="0.35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 x14ac:dyDescent="0.35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 x14ac:dyDescent="0.35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 x14ac:dyDescent="0.35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 x14ac:dyDescent="0.35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 x14ac:dyDescent="0.35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 x14ac:dyDescent="0.35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 x14ac:dyDescent="0.35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 x14ac:dyDescent="0.35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 x14ac:dyDescent="0.35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 x14ac:dyDescent="0.35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 x14ac:dyDescent="0.35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 x14ac:dyDescent="0.35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 x14ac:dyDescent="0.35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 x14ac:dyDescent="0.35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 x14ac:dyDescent="0.35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 x14ac:dyDescent="0.35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 x14ac:dyDescent="0.35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 x14ac:dyDescent="0.35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 x14ac:dyDescent="0.35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 x14ac:dyDescent="0.35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 x14ac:dyDescent="0.35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 x14ac:dyDescent="0.35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 x14ac:dyDescent="0.35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 x14ac:dyDescent="0.35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 x14ac:dyDescent="0.35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 x14ac:dyDescent="0.35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 x14ac:dyDescent="0.35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 x14ac:dyDescent="0.35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 x14ac:dyDescent="0.35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 x14ac:dyDescent="0.35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 x14ac:dyDescent="0.35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 x14ac:dyDescent="0.35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 x14ac:dyDescent="0.35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 x14ac:dyDescent="0.35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 x14ac:dyDescent="0.35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 x14ac:dyDescent="0.35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 x14ac:dyDescent="0.35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 x14ac:dyDescent="0.35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 x14ac:dyDescent="0.35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 x14ac:dyDescent="0.35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 x14ac:dyDescent="0.35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 x14ac:dyDescent="0.35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 x14ac:dyDescent="0.35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 x14ac:dyDescent="0.35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 x14ac:dyDescent="0.35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 x14ac:dyDescent="0.35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 x14ac:dyDescent="0.35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 x14ac:dyDescent="0.35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 x14ac:dyDescent="0.35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 x14ac:dyDescent="0.35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 x14ac:dyDescent="0.35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 x14ac:dyDescent="0.35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 x14ac:dyDescent="0.35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 x14ac:dyDescent="0.35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 x14ac:dyDescent="0.35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 x14ac:dyDescent="0.35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 x14ac:dyDescent="0.35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 x14ac:dyDescent="0.35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 x14ac:dyDescent="0.35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 x14ac:dyDescent="0.35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 x14ac:dyDescent="0.35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 x14ac:dyDescent="0.35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 x14ac:dyDescent="0.35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 x14ac:dyDescent="0.35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 x14ac:dyDescent="0.35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 x14ac:dyDescent="0.35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 x14ac:dyDescent="0.35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 x14ac:dyDescent="0.35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 x14ac:dyDescent="0.35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 x14ac:dyDescent="0.35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 x14ac:dyDescent="0.35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 x14ac:dyDescent="0.35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 x14ac:dyDescent="0.35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 x14ac:dyDescent="0.35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 x14ac:dyDescent="0.35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 x14ac:dyDescent="0.35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 x14ac:dyDescent="0.35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 x14ac:dyDescent="0.35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 x14ac:dyDescent="0.35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 x14ac:dyDescent="0.35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 x14ac:dyDescent="0.35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 x14ac:dyDescent="0.35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 x14ac:dyDescent="0.35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 x14ac:dyDescent="0.35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 x14ac:dyDescent="0.35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 x14ac:dyDescent="0.35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 x14ac:dyDescent="0.35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 x14ac:dyDescent="0.35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 x14ac:dyDescent="0.35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 x14ac:dyDescent="0.35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 x14ac:dyDescent="0.35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 x14ac:dyDescent="0.35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 x14ac:dyDescent="0.35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 x14ac:dyDescent="0.35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 x14ac:dyDescent="0.35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 x14ac:dyDescent="0.35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 x14ac:dyDescent="0.35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 x14ac:dyDescent="0.35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 x14ac:dyDescent="0.35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 x14ac:dyDescent="0.35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 x14ac:dyDescent="0.35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 x14ac:dyDescent="0.35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 x14ac:dyDescent="0.35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 x14ac:dyDescent="0.35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 x14ac:dyDescent="0.35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 x14ac:dyDescent="0.35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 x14ac:dyDescent="0.35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 x14ac:dyDescent="0.35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 x14ac:dyDescent="0.35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 x14ac:dyDescent="0.35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 x14ac:dyDescent="0.35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 x14ac:dyDescent="0.35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 x14ac:dyDescent="0.35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 x14ac:dyDescent="0.35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 x14ac:dyDescent="0.35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 x14ac:dyDescent="0.35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 x14ac:dyDescent="0.35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 x14ac:dyDescent="0.35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 x14ac:dyDescent="0.35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 x14ac:dyDescent="0.35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 x14ac:dyDescent="0.35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 x14ac:dyDescent="0.35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 x14ac:dyDescent="0.35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 x14ac:dyDescent="0.35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 x14ac:dyDescent="0.35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 x14ac:dyDescent="0.35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 x14ac:dyDescent="0.35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 x14ac:dyDescent="0.35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 x14ac:dyDescent="0.35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 x14ac:dyDescent="0.35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 x14ac:dyDescent="0.35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 x14ac:dyDescent="0.35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 x14ac:dyDescent="0.35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 x14ac:dyDescent="0.35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 x14ac:dyDescent="0.35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 x14ac:dyDescent="0.35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 x14ac:dyDescent="0.35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 x14ac:dyDescent="0.35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 x14ac:dyDescent="0.35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 x14ac:dyDescent="0.35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 x14ac:dyDescent="0.35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 x14ac:dyDescent="0.35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 x14ac:dyDescent="0.35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 x14ac:dyDescent="0.35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 x14ac:dyDescent="0.35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 x14ac:dyDescent="0.35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 x14ac:dyDescent="0.35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 x14ac:dyDescent="0.35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 x14ac:dyDescent="0.35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 x14ac:dyDescent="0.35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 x14ac:dyDescent="0.35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 x14ac:dyDescent="0.35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 x14ac:dyDescent="0.35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 x14ac:dyDescent="0.35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 x14ac:dyDescent="0.35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 x14ac:dyDescent="0.35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 x14ac:dyDescent="0.35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 x14ac:dyDescent="0.35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 x14ac:dyDescent="0.35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 x14ac:dyDescent="0.35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 x14ac:dyDescent="0.35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 x14ac:dyDescent="0.35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 x14ac:dyDescent="0.35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 x14ac:dyDescent="0.35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 x14ac:dyDescent="0.35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 x14ac:dyDescent="0.35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 x14ac:dyDescent="0.35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 x14ac:dyDescent="0.35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 x14ac:dyDescent="0.35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 x14ac:dyDescent="0.35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 x14ac:dyDescent="0.35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 x14ac:dyDescent="0.35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 x14ac:dyDescent="0.35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 x14ac:dyDescent="0.35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 x14ac:dyDescent="0.35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 x14ac:dyDescent="0.35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 x14ac:dyDescent="0.35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 x14ac:dyDescent="0.35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 x14ac:dyDescent="0.35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 x14ac:dyDescent="0.35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 x14ac:dyDescent="0.35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 x14ac:dyDescent="0.35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 x14ac:dyDescent="0.35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 x14ac:dyDescent="0.35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 x14ac:dyDescent="0.35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 x14ac:dyDescent="0.35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 x14ac:dyDescent="0.35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 x14ac:dyDescent="0.35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 x14ac:dyDescent="0.35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 x14ac:dyDescent="0.35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 x14ac:dyDescent="0.35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 x14ac:dyDescent="0.35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 x14ac:dyDescent="0.35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 x14ac:dyDescent="0.35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 x14ac:dyDescent="0.35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 x14ac:dyDescent="0.35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 x14ac:dyDescent="0.35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 x14ac:dyDescent="0.35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 x14ac:dyDescent="0.35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 x14ac:dyDescent="0.35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 x14ac:dyDescent="0.35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 x14ac:dyDescent="0.35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 x14ac:dyDescent="0.35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 x14ac:dyDescent="0.35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 x14ac:dyDescent="0.35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 x14ac:dyDescent="0.35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 x14ac:dyDescent="0.35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 x14ac:dyDescent="0.35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 x14ac:dyDescent="0.35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 x14ac:dyDescent="0.35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 x14ac:dyDescent="0.35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 x14ac:dyDescent="0.35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 x14ac:dyDescent="0.35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 x14ac:dyDescent="0.35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 x14ac:dyDescent="0.35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 x14ac:dyDescent="0.35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 x14ac:dyDescent="0.35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 x14ac:dyDescent="0.35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 x14ac:dyDescent="0.35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 x14ac:dyDescent="0.35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 x14ac:dyDescent="0.35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 x14ac:dyDescent="0.35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 x14ac:dyDescent="0.35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 x14ac:dyDescent="0.35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 x14ac:dyDescent="0.35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 x14ac:dyDescent="0.35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 x14ac:dyDescent="0.35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 x14ac:dyDescent="0.35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 x14ac:dyDescent="0.35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 x14ac:dyDescent="0.35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 x14ac:dyDescent="0.35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 x14ac:dyDescent="0.35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 x14ac:dyDescent="0.35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 x14ac:dyDescent="0.35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 x14ac:dyDescent="0.35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 x14ac:dyDescent="0.35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 x14ac:dyDescent="0.35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 x14ac:dyDescent="0.35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 x14ac:dyDescent="0.35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 x14ac:dyDescent="0.35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 x14ac:dyDescent="0.35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 x14ac:dyDescent="0.35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 x14ac:dyDescent="0.35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 x14ac:dyDescent="0.35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 x14ac:dyDescent="0.35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 x14ac:dyDescent="0.35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 x14ac:dyDescent="0.35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 x14ac:dyDescent="0.35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 x14ac:dyDescent="0.35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 x14ac:dyDescent="0.35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 x14ac:dyDescent="0.35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 x14ac:dyDescent="0.35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 x14ac:dyDescent="0.35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 x14ac:dyDescent="0.35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 x14ac:dyDescent="0.35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 x14ac:dyDescent="0.35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 x14ac:dyDescent="0.35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 x14ac:dyDescent="0.35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 x14ac:dyDescent="0.35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 x14ac:dyDescent="0.35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 x14ac:dyDescent="0.35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 x14ac:dyDescent="0.35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 x14ac:dyDescent="0.35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 x14ac:dyDescent="0.35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 x14ac:dyDescent="0.35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 x14ac:dyDescent="0.35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 x14ac:dyDescent="0.35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 x14ac:dyDescent="0.35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 x14ac:dyDescent="0.35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 x14ac:dyDescent="0.35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 x14ac:dyDescent="0.35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 x14ac:dyDescent="0.35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 x14ac:dyDescent="0.35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 x14ac:dyDescent="0.35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 x14ac:dyDescent="0.35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 x14ac:dyDescent="0.35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 x14ac:dyDescent="0.35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 x14ac:dyDescent="0.35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 x14ac:dyDescent="0.35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 x14ac:dyDescent="0.35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 x14ac:dyDescent="0.35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 x14ac:dyDescent="0.35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 x14ac:dyDescent="0.35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 x14ac:dyDescent="0.35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 x14ac:dyDescent="0.35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 x14ac:dyDescent="0.35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 x14ac:dyDescent="0.35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 x14ac:dyDescent="0.35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 x14ac:dyDescent="0.35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 x14ac:dyDescent="0.35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 x14ac:dyDescent="0.35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 x14ac:dyDescent="0.35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 x14ac:dyDescent="0.35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 x14ac:dyDescent="0.35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 x14ac:dyDescent="0.35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 x14ac:dyDescent="0.35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 x14ac:dyDescent="0.35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 x14ac:dyDescent="0.35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 x14ac:dyDescent="0.35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 x14ac:dyDescent="0.35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 x14ac:dyDescent="0.35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 x14ac:dyDescent="0.35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 x14ac:dyDescent="0.35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 x14ac:dyDescent="0.35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 x14ac:dyDescent="0.35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 x14ac:dyDescent="0.35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 x14ac:dyDescent="0.35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 x14ac:dyDescent="0.35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 x14ac:dyDescent="0.35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 x14ac:dyDescent="0.35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 x14ac:dyDescent="0.35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 x14ac:dyDescent="0.35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 x14ac:dyDescent="0.35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 x14ac:dyDescent="0.35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 x14ac:dyDescent="0.35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 x14ac:dyDescent="0.35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 x14ac:dyDescent="0.35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 x14ac:dyDescent="0.35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 x14ac:dyDescent="0.35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 x14ac:dyDescent="0.35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 x14ac:dyDescent="0.35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 x14ac:dyDescent="0.35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 x14ac:dyDescent="0.35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 x14ac:dyDescent="0.35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 x14ac:dyDescent="0.35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 x14ac:dyDescent="0.35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 x14ac:dyDescent="0.35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 x14ac:dyDescent="0.35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 x14ac:dyDescent="0.35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 x14ac:dyDescent="0.35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 x14ac:dyDescent="0.35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 x14ac:dyDescent="0.35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 x14ac:dyDescent="0.35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 x14ac:dyDescent="0.35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 x14ac:dyDescent="0.35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 x14ac:dyDescent="0.35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 x14ac:dyDescent="0.35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 x14ac:dyDescent="0.35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 x14ac:dyDescent="0.35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 x14ac:dyDescent="0.35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 x14ac:dyDescent="0.35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 x14ac:dyDescent="0.35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 x14ac:dyDescent="0.35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 x14ac:dyDescent="0.35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 x14ac:dyDescent="0.35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 x14ac:dyDescent="0.35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 x14ac:dyDescent="0.35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 x14ac:dyDescent="0.35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 x14ac:dyDescent="0.35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 x14ac:dyDescent="0.35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 x14ac:dyDescent="0.35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 x14ac:dyDescent="0.35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 x14ac:dyDescent="0.35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 x14ac:dyDescent="0.35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 x14ac:dyDescent="0.35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 x14ac:dyDescent="0.35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 x14ac:dyDescent="0.35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 x14ac:dyDescent="0.35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 x14ac:dyDescent="0.35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 x14ac:dyDescent="0.35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 x14ac:dyDescent="0.35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 x14ac:dyDescent="0.35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 x14ac:dyDescent="0.35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 x14ac:dyDescent="0.35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 x14ac:dyDescent="0.35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 x14ac:dyDescent="0.35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 x14ac:dyDescent="0.35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 x14ac:dyDescent="0.35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 x14ac:dyDescent="0.35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 x14ac:dyDescent="0.35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 x14ac:dyDescent="0.35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 x14ac:dyDescent="0.35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 x14ac:dyDescent="0.35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 x14ac:dyDescent="0.35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 x14ac:dyDescent="0.35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 x14ac:dyDescent="0.35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 x14ac:dyDescent="0.35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 x14ac:dyDescent="0.35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 x14ac:dyDescent="0.35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 x14ac:dyDescent="0.35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 x14ac:dyDescent="0.35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 x14ac:dyDescent="0.35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 x14ac:dyDescent="0.35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 x14ac:dyDescent="0.35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 x14ac:dyDescent="0.35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 x14ac:dyDescent="0.35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 x14ac:dyDescent="0.35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 x14ac:dyDescent="0.35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 x14ac:dyDescent="0.35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 x14ac:dyDescent="0.35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 x14ac:dyDescent="0.35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 x14ac:dyDescent="0.35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 x14ac:dyDescent="0.35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 x14ac:dyDescent="0.35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 x14ac:dyDescent="0.35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 x14ac:dyDescent="0.35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 x14ac:dyDescent="0.35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 x14ac:dyDescent="0.35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 x14ac:dyDescent="0.35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 x14ac:dyDescent="0.35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 x14ac:dyDescent="0.35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 x14ac:dyDescent="0.35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 x14ac:dyDescent="0.35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 x14ac:dyDescent="0.35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 x14ac:dyDescent="0.35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 x14ac:dyDescent="0.35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 x14ac:dyDescent="0.35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 x14ac:dyDescent="0.35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 x14ac:dyDescent="0.35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 x14ac:dyDescent="0.35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 x14ac:dyDescent="0.35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 x14ac:dyDescent="0.35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 x14ac:dyDescent="0.35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 x14ac:dyDescent="0.35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 x14ac:dyDescent="0.35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 x14ac:dyDescent="0.35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 x14ac:dyDescent="0.35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 x14ac:dyDescent="0.35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 x14ac:dyDescent="0.35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 x14ac:dyDescent="0.35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 x14ac:dyDescent="0.35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 x14ac:dyDescent="0.35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 x14ac:dyDescent="0.35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 x14ac:dyDescent="0.35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 x14ac:dyDescent="0.35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 x14ac:dyDescent="0.35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 x14ac:dyDescent="0.35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 x14ac:dyDescent="0.35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 x14ac:dyDescent="0.35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 x14ac:dyDescent="0.35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 x14ac:dyDescent="0.35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 x14ac:dyDescent="0.35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 x14ac:dyDescent="0.35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 x14ac:dyDescent="0.35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 x14ac:dyDescent="0.35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 x14ac:dyDescent="0.35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 x14ac:dyDescent="0.35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 x14ac:dyDescent="0.35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 x14ac:dyDescent="0.35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 x14ac:dyDescent="0.35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 x14ac:dyDescent="0.35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 x14ac:dyDescent="0.35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 x14ac:dyDescent="0.35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 x14ac:dyDescent="0.35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 x14ac:dyDescent="0.35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 x14ac:dyDescent="0.35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 x14ac:dyDescent="0.35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 x14ac:dyDescent="0.35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 x14ac:dyDescent="0.35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 x14ac:dyDescent="0.35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 x14ac:dyDescent="0.35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 x14ac:dyDescent="0.35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 x14ac:dyDescent="0.35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 x14ac:dyDescent="0.35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 x14ac:dyDescent="0.35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 x14ac:dyDescent="0.35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 x14ac:dyDescent="0.35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 x14ac:dyDescent="0.35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 x14ac:dyDescent="0.35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 x14ac:dyDescent="0.35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 x14ac:dyDescent="0.35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 x14ac:dyDescent="0.35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 x14ac:dyDescent="0.35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 x14ac:dyDescent="0.35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 x14ac:dyDescent="0.35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 x14ac:dyDescent="0.35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 x14ac:dyDescent="0.35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 x14ac:dyDescent="0.35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 x14ac:dyDescent="0.35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 x14ac:dyDescent="0.35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 x14ac:dyDescent="0.35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 x14ac:dyDescent="0.35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 x14ac:dyDescent="0.35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 x14ac:dyDescent="0.35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 x14ac:dyDescent="0.35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 x14ac:dyDescent="0.35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 x14ac:dyDescent="0.35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 x14ac:dyDescent="0.35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 x14ac:dyDescent="0.35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 x14ac:dyDescent="0.35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 x14ac:dyDescent="0.35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 x14ac:dyDescent="0.35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 x14ac:dyDescent="0.35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 x14ac:dyDescent="0.35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 x14ac:dyDescent="0.35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 x14ac:dyDescent="0.35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 x14ac:dyDescent="0.35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 x14ac:dyDescent="0.35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 x14ac:dyDescent="0.35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 x14ac:dyDescent="0.35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 x14ac:dyDescent="0.35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 x14ac:dyDescent="0.35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 x14ac:dyDescent="0.35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 x14ac:dyDescent="0.35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 x14ac:dyDescent="0.35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 x14ac:dyDescent="0.35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 x14ac:dyDescent="0.35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 x14ac:dyDescent="0.35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 x14ac:dyDescent="0.35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 x14ac:dyDescent="0.35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 x14ac:dyDescent="0.35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 x14ac:dyDescent="0.35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 x14ac:dyDescent="0.35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 x14ac:dyDescent="0.35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 x14ac:dyDescent="0.35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 x14ac:dyDescent="0.35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 x14ac:dyDescent="0.35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 x14ac:dyDescent="0.35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 x14ac:dyDescent="0.35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 x14ac:dyDescent="0.35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 x14ac:dyDescent="0.35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 x14ac:dyDescent="0.35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 x14ac:dyDescent="0.35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 x14ac:dyDescent="0.35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 x14ac:dyDescent="0.35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 x14ac:dyDescent="0.35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 x14ac:dyDescent="0.35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 x14ac:dyDescent="0.35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 x14ac:dyDescent="0.35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 x14ac:dyDescent="0.35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 x14ac:dyDescent="0.35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 x14ac:dyDescent="0.35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 x14ac:dyDescent="0.35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 x14ac:dyDescent="0.35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 x14ac:dyDescent="0.35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 x14ac:dyDescent="0.35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 x14ac:dyDescent="0.35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 x14ac:dyDescent="0.35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 x14ac:dyDescent="0.35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 x14ac:dyDescent="0.35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 x14ac:dyDescent="0.35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 x14ac:dyDescent="0.35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 x14ac:dyDescent="0.35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 x14ac:dyDescent="0.35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 x14ac:dyDescent="0.35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 x14ac:dyDescent="0.35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 x14ac:dyDescent="0.35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 x14ac:dyDescent="0.35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 x14ac:dyDescent="0.35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 x14ac:dyDescent="0.35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 x14ac:dyDescent="0.35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 x14ac:dyDescent="0.35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 x14ac:dyDescent="0.35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 x14ac:dyDescent="0.35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 x14ac:dyDescent="0.35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 x14ac:dyDescent="0.35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 x14ac:dyDescent="0.35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 x14ac:dyDescent="0.35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 x14ac:dyDescent="0.35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 x14ac:dyDescent="0.35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 x14ac:dyDescent="0.35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 x14ac:dyDescent="0.35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 x14ac:dyDescent="0.35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 x14ac:dyDescent="0.35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 x14ac:dyDescent="0.35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 x14ac:dyDescent="0.35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 x14ac:dyDescent="0.35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 x14ac:dyDescent="0.35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 x14ac:dyDescent="0.35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 x14ac:dyDescent="0.35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 x14ac:dyDescent="0.35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 x14ac:dyDescent="0.35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 x14ac:dyDescent="0.35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 x14ac:dyDescent="0.35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 x14ac:dyDescent="0.35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 x14ac:dyDescent="0.35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 x14ac:dyDescent="0.35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 x14ac:dyDescent="0.35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 x14ac:dyDescent="0.35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 x14ac:dyDescent="0.35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 x14ac:dyDescent="0.35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 x14ac:dyDescent="0.35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 x14ac:dyDescent="0.35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 x14ac:dyDescent="0.35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 x14ac:dyDescent="0.35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 x14ac:dyDescent="0.35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 x14ac:dyDescent="0.35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 x14ac:dyDescent="0.35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 x14ac:dyDescent="0.35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 x14ac:dyDescent="0.35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 x14ac:dyDescent="0.35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 x14ac:dyDescent="0.35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 x14ac:dyDescent="0.35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 x14ac:dyDescent="0.35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 x14ac:dyDescent="0.35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 x14ac:dyDescent="0.35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 x14ac:dyDescent="0.35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 x14ac:dyDescent="0.35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 x14ac:dyDescent="0.35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 x14ac:dyDescent="0.35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 x14ac:dyDescent="0.35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 x14ac:dyDescent="0.35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 x14ac:dyDescent="0.35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 x14ac:dyDescent="0.35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 x14ac:dyDescent="0.35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 x14ac:dyDescent="0.35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 x14ac:dyDescent="0.35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 x14ac:dyDescent="0.35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 x14ac:dyDescent="0.35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 x14ac:dyDescent="0.35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 x14ac:dyDescent="0.35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 x14ac:dyDescent="0.35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 x14ac:dyDescent="0.35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 x14ac:dyDescent="0.35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 x14ac:dyDescent="0.35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 x14ac:dyDescent="0.35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 x14ac:dyDescent="0.35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 x14ac:dyDescent="0.35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 x14ac:dyDescent="0.35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 x14ac:dyDescent="0.35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 x14ac:dyDescent="0.35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 x14ac:dyDescent="0.35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 x14ac:dyDescent="0.35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 x14ac:dyDescent="0.35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 x14ac:dyDescent="0.35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 x14ac:dyDescent="0.35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 x14ac:dyDescent="0.35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 x14ac:dyDescent="0.35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 x14ac:dyDescent="0.35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 x14ac:dyDescent="0.35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 x14ac:dyDescent="0.35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 x14ac:dyDescent="0.35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 x14ac:dyDescent="0.35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 x14ac:dyDescent="0.35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 x14ac:dyDescent="0.35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 x14ac:dyDescent="0.35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 x14ac:dyDescent="0.35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 x14ac:dyDescent="0.35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 x14ac:dyDescent="0.35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 x14ac:dyDescent="0.35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 x14ac:dyDescent="0.35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 x14ac:dyDescent="0.35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 x14ac:dyDescent="0.35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 x14ac:dyDescent="0.35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 x14ac:dyDescent="0.35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 x14ac:dyDescent="0.35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 x14ac:dyDescent="0.35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 x14ac:dyDescent="0.35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 x14ac:dyDescent="0.35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 x14ac:dyDescent="0.35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 x14ac:dyDescent="0.35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 x14ac:dyDescent="0.35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 x14ac:dyDescent="0.35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 x14ac:dyDescent="0.35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 x14ac:dyDescent="0.35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 x14ac:dyDescent="0.35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 x14ac:dyDescent="0.35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 x14ac:dyDescent="0.35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 x14ac:dyDescent="0.35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 x14ac:dyDescent="0.35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 x14ac:dyDescent="0.35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 x14ac:dyDescent="0.35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 x14ac:dyDescent="0.35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 x14ac:dyDescent="0.35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 x14ac:dyDescent="0.35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 x14ac:dyDescent="0.35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 x14ac:dyDescent="0.35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 x14ac:dyDescent="0.35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 x14ac:dyDescent="0.35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 x14ac:dyDescent="0.35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 x14ac:dyDescent="0.35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 x14ac:dyDescent="0.35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 x14ac:dyDescent="0.35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 x14ac:dyDescent="0.35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 x14ac:dyDescent="0.35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 x14ac:dyDescent="0.35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 x14ac:dyDescent="0.35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 x14ac:dyDescent="0.35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 x14ac:dyDescent="0.35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 x14ac:dyDescent="0.35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 x14ac:dyDescent="0.35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 x14ac:dyDescent="0.35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 x14ac:dyDescent="0.35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 x14ac:dyDescent="0.35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 x14ac:dyDescent="0.35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 x14ac:dyDescent="0.35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 x14ac:dyDescent="0.35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 x14ac:dyDescent="0.35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 x14ac:dyDescent="0.35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 x14ac:dyDescent="0.35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 x14ac:dyDescent="0.35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 x14ac:dyDescent="0.35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 x14ac:dyDescent="0.35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 x14ac:dyDescent="0.35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 x14ac:dyDescent="0.35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 x14ac:dyDescent="0.35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 x14ac:dyDescent="0.35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 x14ac:dyDescent="0.35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 x14ac:dyDescent="0.35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 x14ac:dyDescent="0.35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 x14ac:dyDescent="0.35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 x14ac:dyDescent="0.35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 x14ac:dyDescent="0.35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 x14ac:dyDescent="0.35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 x14ac:dyDescent="0.35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 x14ac:dyDescent="0.35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 x14ac:dyDescent="0.35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 x14ac:dyDescent="0.35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 x14ac:dyDescent="0.35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 x14ac:dyDescent="0.35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 x14ac:dyDescent="0.35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 x14ac:dyDescent="0.35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 x14ac:dyDescent="0.35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 x14ac:dyDescent="0.35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 x14ac:dyDescent="0.35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 x14ac:dyDescent="0.35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 x14ac:dyDescent="0.35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 x14ac:dyDescent="0.35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 x14ac:dyDescent="0.35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 x14ac:dyDescent="0.35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 x14ac:dyDescent="0.35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 x14ac:dyDescent="0.35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 x14ac:dyDescent="0.35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 x14ac:dyDescent="0.35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 x14ac:dyDescent="0.35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 x14ac:dyDescent="0.35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 x14ac:dyDescent="0.35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 x14ac:dyDescent="0.35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 x14ac:dyDescent="0.35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 x14ac:dyDescent="0.35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 x14ac:dyDescent="0.35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 x14ac:dyDescent="0.35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 x14ac:dyDescent="0.35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 x14ac:dyDescent="0.35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 x14ac:dyDescent="0.35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 x14ac:dyDescent="0.35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 x14ac:dyDescent="0.35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 x14ac:dyDescent="0.35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 x14ac:dyDescent="0.35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 x14ac:dyDescent="0.35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 x14ac:dyDescent="0.35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 x14ac:dyDescent="0.35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 x14ac:dyDescent="0.35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 x14ac:dyDescent="0.35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 x14ac:dyDescent="0.35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 x14ac:dyDescent="0.35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 x14ac:dyDescent="0.35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 x14ac:dyDescent="0.35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 x14ac:dyDescent="0.35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 x14ac:dyDescent="0.35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 x14ac:dyDescent="0.35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 x14ac:dyDescent="0.35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 x14ac:dyDescent="0.35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 x14ac:dyDescent="0.35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 x14ac:dyDescent="0.35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 x14ac:dyDescent="0.35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 x14ac:dyDescent="0.35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 x14ac:dyDescent="0.35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 x14ac:dyDescent="0.35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 x14ac:dyDescent="0.35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 x14ac:dyDescent="0.35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 x14ac:dyDescent="0.35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 x14ac:dyDescent="0.35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 x14ac:dyDescent="0.35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 x14ac:dyDescent="0.35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 x14ac:dyDescent="0.35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 x14ac:dyDescent="0.35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 x14ac:dyDescent="0.35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 x14ac:dyDescent="0.35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 x14ac:dyDescent="0.35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 x14ac:dyDescent="0.35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 x14ac:dyDescent="0.35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 x14ac:dyDescent="0.35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 x14ac:dyDescent="0.35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 x14ac:dyDescent="0.35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 x14ac:dyDescent="0.35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 x14ac:dyDescent="0.35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 x14ac:dyDescent="0.35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 x14ac:dyDescent="0.35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 x14ac:dyDescent="0.35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 x14ac:dyDescent="0.35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 x14ac:dyDescent="0.35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 x14ac:dyDescent="0.35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 x14ac:dyDescent="0.35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 x14ac:dyDescent="0.35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 x14ac:dyDescent="0.35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 x14ac:dyDescent="0.35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 x14ac:dyDescent="0.35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 x14ac:dyDescent="0.35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 x14ac:dyDescent="0.35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 x14ac:dyDescent="0.35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 x14ac:dyDescent="0.35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 x14ac:dyDescent="0.35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 x14ac:dyDescent="0.35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 x14ac:dyDescent="0.35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 x14ac:dyDescent="0.35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 x14ac:dyDescent="0.35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 x14ac:dyDescent="0.35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 x14ac:dyDescent="0.35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 x14ac:dyDescent="0.35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 x14ac:dyDescent="0.35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 x14ac:dyDescent="0.35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 x14ac:dyDescent="0.35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 x14ac:dyDescent="0.35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 x14ac:dyDescent="0.35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 x14ac:dyDescent="0.35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 x14ac:dyDescent="0.35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 x14ac:dyDescent="0.35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 x14ac:dyDescent="0.35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 x14ac:dyDescent="0.35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 x14ac:dyDescent="0.35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 x14ac:dyDescent="0.35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 x14ac:dyDescent="0.35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 x14ac:dyDescent="0.35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 x14ac:dyDescent="0.35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 x14ac:dyDescent="0.35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 x14ac:dyDescent="0.35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 x14ac:dyDescent="0.35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 x14ac:dyDescent="0.35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 x14ac:dyDescent="0.35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 x14ac:dyDescent="0.35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 x14ac:dyDescent="0.35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 x14ac:dyDescent="0.35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 x14ac:dyDescent="0.35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 x14ac:dyDescent="0.35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 x14ac:dyDescent="0.35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 x14ac:dyDescent="0.35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 x14ac:dyDescent="0.35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 x14ac:dyDescent="0.35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 x14ac:dyDescent="0.35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 x14ac:dyDescent="0.35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 x14ac:dyDescent="0.35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 x14ac:dyDescent="0.35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 x14ac:dyDescent="0.35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 x14ac:dyDescent="0.35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 x14ac:dyDescent="0.35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 x14ac:dyDescent="0.35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 x14ac:dyDescent="0.35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 x14ac:dyDescent="0.35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 x14ac:dyDescent="0.35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 x14ac:dyDescent="0.35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 x14ac:dyDescent="0.35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 x14ac:dyDescent="0.35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 x14ac:dyDescent="0.35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 x14ac:dyDescent="0.35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 x14ac:dyDescent="0.35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 x14ac:dyDescent="0.35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 x14ac:dyDescent="0.35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 x14ac:dyDescent="0.35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 x14ac:dyDescent="0.35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 x14ac:dyDescent="0.35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 x14ac:dyDescent="0.35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 x14ac:dyDescent="0.35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 x14ac:dyDescent="0.35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 x14ac:dyDescent="0.35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 x14ac:dyDescent="0.35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 x14ac:dyDescent="0.35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 x14ac:dyDescent="0.35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 x14ac:dyDescent="0.35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 x14ac:dyDescent="0.35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 x14ac:dyDescent="0.35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 x14ac:dyDescent="0.35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 x14ac:dyDescent="0.35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 x14ac:dyDescent="0.35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 x14ac:dyDescent="0.35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 x14ac:dyDescent="0.35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 x14ac:dyDescent="0.35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 x14ac:dyDescent="0.35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 x14ac:dyDescent="0.35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 x14ac:dyDescent="0.35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 x14ac:dyDescent="0.35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 x14ac:dyDescent="0.35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 x14ac:dyDescent="0.35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 x14ac:dyDescent="0.35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 x14ac:dyDescent="0.35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 x14ac:dyDescent="0.35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 x14ac:dyDescent="0.35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 x14ac:dyDescent="0.35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 x14ac:dyDescent="0.35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 x14ac:dyDescent="0.35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 x14ac:dyDescent="0.35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 x14ac:dyDescent="0.35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 x14ac:dyDescent="0.35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 x14ac:dyDescent="0.35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 x14ac:dyDescent="0.35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 x14ac:dyDescent="0.35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 x14ac:dyDescent="0.35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 x14ac:dyDescent="0.35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 x14ac:dyDescent="0.35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 x14ac:dyDescent="0.35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 x14ac:dyDescent="0.35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 x14ac:dyDescent="0.35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 x14ac:dyDescent="0.35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 x14ac:dyDescent="0.35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 x14ac:dyDescent="0.35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 x14ac:dyDescent="0.35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 x14ac:dyDescent="0.35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 x14ac:dyDescent="0.35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 x14ac:dyDescent="0.35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 x14ac:dyDescent="0.35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 x14ac:dyDescent="0.35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 x14ac:dyDescent="0.35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 x14ac:dyDescent="0.35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 x14ac:dyDescent="0.35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 x14ac:dyDescent="0.35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 x14ac:dyDescent="0.35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 x14ac:dyDescent="0.35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 x14ac:dyDescent="0.35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 x14ac:dyDescent="0.35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 x14ac:dyDescent="0.35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 x14ac:dyDescent="0.35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 x14ac:dyDescent="0.35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 x14ac:dyDescent="0.35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 x14ac:dyDescent="0.35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 x14ac:dyDescent="0.35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 x14ac:dyDescent="0.35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 x14ac:dyDescent="0.35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 x14ac:dyDescent="0.35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 x14ac:dyDescent="0.35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 x14ac:dyDescent="0.35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 x14ac:dyDescent="0.35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 x14ac:dyDescent="0.35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 x14ac:dyDescent="0.35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 x14ac:dyDescent="0.35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 x14ac:dyDescent="0.35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 x14ac:dyDescent="0.35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 x14ac:dyDescent="0.35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 x14ac:dyDescent="0.35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 x14ac:dyDescent="0.35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 x14ac:dyDescent="0.35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 x14ac:dyDescent="0.35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 x14ac:dyDescent="0.35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 x14ac:dyDescent="0.35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 x14ac:dyDescent="0.35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 x14ac:dyDescent="0.35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 x14ac:dyDescent="0.35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 x14ac:dyDescent="0.35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 x14ac:dyDescent="0.35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 x14ac:dyDescent="0.35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 x14ac:dyDescent="0.35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 x14ac:dyDescent="0.35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 x14ac:dyDescent="0.35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 x14ac:dyDescent="0.35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 x14ac:dyDescent="0.35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 x14ac:dyDescent="0.35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 x14ac:dyDescent="0.35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 x14ac:dyDescent="0.35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 x14ac:dyDescent="0.35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 x14ac:dyDescent="0.35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 x14ac:dyDescent="0.35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 x14ac:dyDescent="0.35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 x14ac:dyDescent="0.35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 x14ac:dyDescent="0.35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 x14ac:dyDescent="0.35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 x14ac:dyDescent="0.35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 x14ac:dyDescent="0.35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 x14ac:dyDescent="0.35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 x14ac:dyDescent="0.35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 x14ac:dyDescent="0.35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 x14ac:dyDescent="0.35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 x14ac:dyDescent="0.35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 x14ac:dyDescent="0.35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 x14ac:dyDescent="0.35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 x14ac:dyDescent="0.35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 x14ac:dyDescent="0.35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 x14ac:dyDescent="0.35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 x14ac:dyDescent="0.35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 x14ac:dyDescent="0.35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 x14ac:dyDescent="0.35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 x14ac:dyDescent="0.35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 x14ac:dyDescent="0.35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 x14ac:dyDescent="0.35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 x14ac:dyDescent="0.35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 x14ac:dyDescent="0.35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 x14ac:dyDescent="0.35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 x14ac:dyDescent="0.35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 x14ac:dyDescent="0.35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 x14ac:dyDescent="0.35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 x14ac:dyDescent="0.35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 x14ac:dyDescent="0.35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 x14ac:dyDescent="0.35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 x14ac:dyDescent="0.35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 x14ac:dyDescent="0.35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 x14ac:dyDescent="0.35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 x14ac:dyDescent="0.35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 x14ac:dyDescent="0.35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 x14ac:dyDescent="0.35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 x14ac:dyDescent="0.35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 x14ac:dyDescent="0.35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 x14ac:dyDescent="0.35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 x14ac:dyDescent="0.35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 x14ac:dyDescent="0.35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 x14ac:dyDescent="0.35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 x14ac:dyDescent="0.35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 x14ac:dyDescent="0.35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 x14ac:dyDescent="0.35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 x14ac:dyDescent="0.35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 x14ac:dyDescent="0.35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 x14ac:dyDescent="0.35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 x14ac:dyDescent="0.35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 x14ac:dyDescent="0.35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 x14ac:dyDescent="0.35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 x14ac:dyDescent="0.35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 x14ac:dyDescent="0.35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 x14ac:dyDescent="0.35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 x14ac:dyDescent="0.35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 x14ac:dyDescent="0.35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 x14ac:dyDescent="0.35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 x14ac:dyDescent="0.35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 x14ac:dyDescent="0.35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 x14ac:dyDescent="0.35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 x14ac:dyDescent="0.35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 x14ac:dyDescent="0.35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 x14ac:dyDescent="0.35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 x14ac:dyDescent="0.35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 x14ac:dyDescent="0.35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 x14ac:dyDescent="0.35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 x14ac:dyDescent="0.35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 x14ac:dyDescent="0.35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 x14ac:dyDescent="0.35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 x14ac:dyDescent="0.35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 x14ac:dyDescent="0.35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 x14ac:dyDescent="0.35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 x14ac:dyDescent="0.35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 x14ac:dyDescent="0.35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 x14ac:dyDescent="0.35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 x14ac:dyDescent="0.35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 x14ac:dyDescent="0.35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 x14ac:dyDescent="0.35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 x14ac:dyDescent="0.35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 x14ac:dyDescent="0.35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 x14ac:dyDescent="0.35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 x14ac:dyDescent="0.35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 x14ac:dyDescent="0.35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 x14ac:dyDescent="0.35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 x14ac:dyDescent="0.35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 x14ac:dyDescent="0.35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 x14ac:dyDescent="0.35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 x14ac:dyDescent="0.35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 x14ac:dyDescent="0.35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 x14ac:dyDescent="0.35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 x14ac:dyDescent="0.35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 x14ac:dyDescent="0.35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 x14ac:dyDescent="0.35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 x14ac:dyDescent="0.35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 x14ac:dyDescent="0.35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 x14ac:dyDescent="0.35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 x14ac:dyDescent="0.35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 x14ac:dyDescent="0.35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 x14ac:dyDescent="0.35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 x14ac:dyDescent="0.35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 x14ac:dyDescent="0.35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 x14ac:dyDescent="0.35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 x14ac:dyDescent="0.35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 x14ac:dyDescent="0.35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 x14ac:dyDescent="0.35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 x14ac:dyDescent="0.35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 x14ac:dyDescent="0.35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 x14ac:dyDescent="0.35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 x14ac:dyDescent="0.35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 x14ac:dyDescent="0.35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 x14ac:dyDescent="0.35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 x14ac:dyDescent="0.35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 x14ac:dyDescent="0.35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 x14ac:dyDescent="0.35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 x14ac:dyDescent="0.35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 x14ac:dyDescent="0.35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 x14ac:dyDescent="0.35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 x14ac:dyDescent="0.35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 x14ac:dyDescent="0.35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 x14ac:dyDescent="0.35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 x14ac:dyDescent="0.35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 x14ac:dyDescent="0.35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 x14ac:dyDescent="0.35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 x14ac:dyDescent="0.35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 x14ac:dyDescent="0.35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 x14ac:dyDescent="0.35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 x14ac:dyDescent="0.35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 x14ac:dyDescent="0.35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 x14ac:dyDescent="0.35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 x14ac:dyDescent="0.35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 x14ac:dyDescent="0.35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 x14ac:dyDescent="0.35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 x14ac:dyDescent="0.35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 x14ac:dyDescent="0.35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 x14ac:dyDescent="0.35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 x14ac:dyDescent="0.35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 x14ac:dyDescent="0.35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 x14ac:dyDescent="0.35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 x14ac:dyDescent="0.35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 x14ac:dyDescent="0.35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 x14ac:dyDescent="0.35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 x14ac:dyDescent="0.35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 x14ac:dyDescent="0.35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 x14ac:dyDescent="0.35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 x14ac:dyDescent="0.35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 x14ac:dyDescent="0.35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 x14ac:dyDescent="0.35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 x14ac:dyDescent="0.35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 x14ac:dyDescent="0.35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 x14ac:dyDescent="0.35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 x14ac:dyDescent="0.35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 x14ac:dyDescent="0.35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 x14ac:dyDescent="0.35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 x14ac:dyDescent="0.35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 x14ac:dyDescent="0.35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 x14ac:dyDescent="0.35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 x14ac:dyDescent="0.35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 x14ac:dyDescent="0.35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 x14ac:dyDescent="0.35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 x14ac:dyDescent="0.35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 x14ac:dyDescent="0.35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 x14ac:dyDescent="0.35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 x14ac:dyDescent="0.35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 x14ac:dyDescent="0.35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 x14ac:dyDescent="0.35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 x14ac:dyDescent="0.35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 x14ac:dyDescent="0.35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 x14ac:dyDescent="0.35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 x14ac:dyDescent="0.35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 x14ac:dyDescent="0.35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 x14ac:dyDescent="0.35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 x14ac:dyDescent="0.35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 x14ac:dyDescent="0.35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 x14ac:dyDescent="0.35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 x14ac:dyDescent="0.35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 x14ac:dyDescent="0.35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 x14ac:dyDescent="0.35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 x14ac:dyDescent="0.35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 x14ac:dyDescent="0.35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 x14ac:dyDescent="0.35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 x14ac:dyDescent="0.35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 x14ac:dyDescent="0.35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 x14ac:dyDescent="0.35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 x14ac:dyDescent="0.35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 x14ac:dyDescent="0.35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 x14ac:dyDescent="0.35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 x14ac:dyDescent="0.35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 x14ac:dyDescent="0.35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 x14ac:dyDescent="0.35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 x14ac:dyDescent="0.35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 x14ac:dyDescent="0.35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 x14ac:dyDescent="0.35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 x14ac:dyDescent="0.35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 x14ac:dyDescent="0.35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 x14ac:dyDescent="0.35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 x14ac:dyDescent="0.35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 x14ac:dyDescent="0.35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 x14ac:dyDescent="0.35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 x14ac:dyDescent="0.35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 x14ac:dyDescent="0.35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 x14ac:dyDescent="0.35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 x14ac:dyDescent="0.35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 x14ac:dyDescent="0.35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 x14ac:dyDescent="0.35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 x14ac:dyDescent="0.35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 x14ac:dyDescent="0.35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 x14ac:dyDescent="0.35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 x14ac:dyDescent="0.35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 x14ac:dyDescent="0.35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 x14ac:dyDescent="0.35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 x14ac:dyDescent="0.35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 x14ac:dyDescent="0.35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 x14ac:dyDescent="0.35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 x14ac:dyDescent="0.35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 x14ac:dyDescent="0.35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 x14ac:dyDescent="0.35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 x14ac:dyDescent="0.35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 x14ac:dyDescent="0.35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 x14ac:dyDescent="0.35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 x14ac:dyDescent="0.35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 x14ac:dyDescent="0.35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 x14ac:dyDescent="0.35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 x14ac:dyDescent="0.35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 x14ac:dyDescent="0.35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 x14ac:dyDescent="0.35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 x14ac:dyDescent="0.35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 x14ac:dyDescent="0.35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 x14ac:dyDescent="0.35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 x14ac:dyDescent="0.35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 x14ac:dyDescent="0.35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 x14ac:dyDescent="0.35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 x14ac:dyDescent="0.35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 x14ac:dyDescent="0.35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 x14ac:dyDescent="0.35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 x14ac:dyDescent="0.35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 x14ac:dyDescent="0.35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 x14ac:dyDescent="0.35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 x14ac:dyDescent="0.35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 x14ac:dyDescent="0.35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 x14ac:dyDescent="0.35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 x14ac:dyDescent="0.35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 x14ac:dyDescent="0.35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 x14ac:dyDescent="0.35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 x14ac:dyDescent="0.35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 x14ac:dyDescent="0.35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 x14ac:dyDescent="0.35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 x14ac:dyDescent="0.35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 x14ac:dyDescent="0.35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 x14ac:dyDescent="0.35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 x14ac:dyDescent="0.35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 x14ac:dyDescent="0.35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 x14ac:dyDescent="0.35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 x14ac:dyDescent="0.35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 x14ac:dyDescent="0.35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 x14ac:dyDescent="0.35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 x14ac:dyDescent="0.35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 x14ac:dyDescent="0.35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 x14ac:dyDescent="0.35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 x14ac:dyDescent="0.35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 x14ac:dyDescent="0.35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 x14ac:dyDescent="0.35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 x14ac:dyDescent="0.35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 x14ac:dyDescent="0.35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 x14ac:dyDescent="0.35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 x14ac:dyDescent="0.35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 x14ac:dyDescent="0.35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 x14ac:dyDescent="0.35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 x14ac:dyDescent="0.35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 x14ac:dyDescent="0.35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 x14ac:dyDescent="0.35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 x14ac:dyDescent="0.35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 x14ac:dyDescent="0.35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 x14ac:dyDescent="0.35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 x14ac:dyDescent="0.35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 x14ac:dyDescent="0.35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 x14ac:dyDescent="0.35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 x14ac:dyDescent="0.35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 x14ac:dyDescent="0.35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 x14ac:dyDescent="0.35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 x14ac:dyDescent="0.35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 x14ac:dyDescent="0.35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 x14ac:dyDescent="0.35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 x14ac:dyDescent="0.35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 x14ac:dyDescent="0.35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 x14ac:dyDescent="0.35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 x14ac:dyDescent="0.35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 x14ac:dyDescent="0.35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 x14ac:dyDescent="0.35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 x14ac:dyDescent="0.35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 x14ac:dyDescent="0.35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 x14ac:dyDescent="0.35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 x14ac:dyDescent="0.35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 x14ac:dyDescent="0.35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 x14ac:dyDescent="0.35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 x14ac:dyDescent="0.35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 x14ac:dyDescent="0.35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 x14ac:dyDescent="0.35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 x14ac:dyDescent="0.35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 x14ac:dyDescent="0.35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 x14ac:dyDescent="0.35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 x14ac:dyDescent="0.35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 x14ac:dyDescent="0.35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 x14ac:dyDescent="0.35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 x14ac:dyDescent="0.35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 x14ac:dyDescent="0.35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 x14ac:dyDescent="0.35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 x14ac:dyDescent="0.35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 x14ac:dyDescent="0.35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 x14ac:dyDescent="0.35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 x14ac:dyDescent="0.35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 x14ac:dyDescent="0.35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 x14ac:dyDescent="0.35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 x14ac:dyDescent="0.35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 x14ac:dyDescent="0.35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 x14ac:dyDescent="0.35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 x14ac:dyDescent="0.35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 x14ac:dyDescent="0.35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 x14ac:dyDescent="0.35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 x14ac:dyDescent="0.35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 x14ac:dyDescent="0.35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 x14ac:dyDescent="0.35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 x14ac:dyDescent="0.35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 x14ac:dyDescent="0.35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 x14ac:dyDescent="0.35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 x14ac:dyDescent="0.35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 x14ac:dyDescent="0.35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 x14ac:dyDescent="0.35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 x14ac:dyDescent="0.35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 x14ac:dyDescent="0.35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 x14ac:dyDescent="0.35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 x14ac:dyDescent="0.35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 x14ac:dyDescent="0.35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 x14ac:dyDescent="0.35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 x14ac:dyDescent="0.35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 x14ac:dyDescent="0.35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 x14ac:dyDescent="0.35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 x14ac:dyDescent="0.35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 x14ac:dyDescent="0.35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 x14ac:dyDescent="0.35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 x14ac:dyDescent="0.35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 x14ac:dyDescent="0.35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 x14ac:dyDescent="0.35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 x14ac:dyDescent="0.35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 x14ac:dyDescent="0.35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 x14ac:dyDescent="0.35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 x14ac:dyDescent="0.35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 x14ac:dyDescent="0.35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 x14ac:dyDescent="0.35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 x14ac:dyDescent="0.35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 x14ac:dyDescent="0.35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 x14ac:dyDescent="0.35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 x14ac:dyDescent="0.35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 x14ac:dyDescent="0.35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 x14ac:dyDescent="0.35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 x14ac:dyDescent="0.35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 x14ac:dyDescent="0.35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 x14ac:dyDescent="0.35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 x14ac:dyDescent="0.35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 x14ac:dyDescent="0.35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 x14ac:dyDescent="0.35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 x14ac:dyDescent="0.35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 x14ac:dyDescent="0.35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 x14ac:dyDescent="0.35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 x14ac:dyDescent="0.35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 x14ac:dyDescent="0.35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 x14ac:dyDescent="0.35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 x14ac:dyDescent="0.35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 x14ac:dyDescent="0.35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 x14ac:dyDescent="0.35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 x14ac:dyDescent="0.35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 x14ac:dyDescent="0.35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 x14ac:dyDescent="0.35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 x14ac:dyDescent="0.35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 x14ac:dyDescent="0.35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 x14ac:dyDescent="0.35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 x14ac:dyDescent="0.35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 x14ac:dyDescent="0.35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 x14ac:dyDescent="0.35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 x14ac:dyDescent="0.35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 x14ac:dyDescent="0.35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 x14ac:dyDescent="0.35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 x14ac:dyDescent="0.35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 x14ac:dyDescent="0.35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 x14ac:dyDescent="0.35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 x14ac:dyDescent="0.35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 x14ac:dyDescent="0.35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 x14ac:dyDescent="0.35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 x14ac:dyDescent="0.35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 x14ac:dyDescent="0.35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 x14ac:dyDescent="0.35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 x14ac:dyDescent="0.35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 x14ac:dyDescent="0.35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 x14ac:dyDescent="0.35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 x14ac:dyDescent="0.35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 x14ac:dyDescent="0.35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 x14ac:dyDescent="0.35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 x14ac:dyDescent="0.35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 x14ac:dyDescent="0.35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 x14ac:dyDescent="0.35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 x14ac:dyDescent="0.35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 x14ac:dyDescent="0.35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 x14ac:dyDescent="0.35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 x14ac:dyDescent="0.35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 x14ac:dyDescent="0.35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 x14ac:dyDescent="0.35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 x14ac:dyDescent="0.35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 x14ac:dyDescent="0.35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 x14ac:dyDescent="0.35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 x14ac:dyDescent="0.35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 x14ac:dyDescent="0.35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 x14ac:dyDescent="0.35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 x14ac:dyDescent="0.35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 x14ac:dyDescent="0.35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 x14ac:dyDescent="0.35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 x14ac:dyDescent="0.35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 x14ac:dyDescent="0.35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 x14ac:dyDescent="0.35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 x14ac:dyDescent="0.35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 x14ac:dyDescent="0.35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 x14ac:dyDescent="0.35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 x14ac:dyDescent="0.35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 x14ac:dyDescent="0.35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 x14ac:dyDescent="0.35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 x14ac:dyDescent="0.35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 x14ac:dyDescent="0.35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 x14ac:dyDescent="0.35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 x14ac:dyDescent="0.35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 x14ac:dyDescent="0.35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 x14ac:dyDescent="0.35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 x14ac:dyDescent="0.35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 x14ac:dyDescent="0.35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 x14ac:dyDescent="0.35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 x14ac:dyDescent="0.35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 x14ac:dyDescent="0.35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 x14ac:dyDescent="0.35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 x14ac:dyDescent="0.35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 x14ac:dyDescent="0.35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 x14ac:dyDescent="0.35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 x14ac:dyDescent="0.35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 x14ac:dyDescent="0.35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 x14ac:dyDescent="0.35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 x14ac:dyDescent="0.35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 x14ac:dyDescent="0.35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 x14ac:dyDescent="0.35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 x14ac:dyDescent="0.35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 x14ac:dyDescent="0.35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 x14ac:dyDescent="0.35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 x14ac:dyDescent="0.35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 x14ac:dyDescent="0.35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 x14ac:dyDescent="0.35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 x14ac:dyDescent="0.35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 x14ac:dyDescent="0.35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 x14ac:dyDescent="0.35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 x14ac:dyDescent="0.35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 x14ac:dyDescent="0.35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 x14ac:dyDescent="0.35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 x14ac:dyDescent="0.35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 x14ac:dyDescent="0.35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 x14ac:dyDescent="0.35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 x14ac:dyDescent="0.35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 x14ac:dyDescent="0.35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 x14ac:dyDescent="0.35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 x14ac:dyDescent="0.35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 x14ac:dyDescent="0.35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 x14ac:dyDescent="0.35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 x14ac:dyDescent="0.35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 x14ac:dyDescent="0.35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 x14ac:dyDescent="0.35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 x14ac:dyDescent="0.35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 x14ac:dyDescent="0.35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 x14ac:dyDescent="0.35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 x14ac:dyDescent="0.35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 x14ac:dyDescent="0.35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 x14ac:dyDescent="0.35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 x14ac:dyDescent="0.35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 x14ac:dyDescent="0.35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 x14ac:dyDescent="0.35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 x14ac:dyDescent="0.35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 x14ac:dyDescent="0.35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 x14ac:dyDescent="0.35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 x14ac:dyDescent="0.35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 x14ac:dyDescent="0.35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 x14ac:dyDescent="0.35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 x14ac:dyDescent="0.35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 x14ac:dyDescent="0.35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 x14ac:dyDescent="0.35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 x14ac:dyDescent="0.35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 x14ac:dyDescent="0.35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 x14ac:dyDescent="0.35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 x14ac:dyDescent="0.35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 x14ac:dyDescent="0.35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 x14ac:dyDescent="0.35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 x14ac:dyDescent="0.35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 x14ac:dyDescent="0.35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 x14ac:dyDescent="0.35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 x14ac:dyDescent="0.35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 x14ac:dyDescent="0.35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 x14ac:dyDescent="0.35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 x14ac:dyDescent="0.35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 x14ac:dyDescent="0.35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 x14ac:dyDescent="0.35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 x14ac:dyDescent="0.35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 x14ac:dyDescent="0.35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 x14ac:dyDescent="0.35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 x14ac:dyDescent="0.35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 x14ac:dyDescent="0.35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 x14ac:dyDescent="0.35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 x14ac:dyDescent="0.35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 x14ac:dyDescent="0.35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 x14ac:dyDescent="0.35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 x14ac:dyDescent="0.35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 x14ac:dyDescent="0.35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 x14ac:dyDescent="0.35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 x14ac:dyDescent="0.35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 x14ac:dyDescent="0.35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 x14ac:dyDescent="0.35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 x14ac:dyDescent="0.35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 x14ac:dyDescent="0.35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 x14ac:dyDescent="0.35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 x14ac:dyDescent="0.35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 x14ac:dyDescent="0.35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 x14ac:dyDescent="0.35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 x14ac:dyDescent="0.35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 x14ac:dyDescent="0.35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 x14ac:dyDescent="0.35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 x14ac:dyDescent="0.35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 x14ac:dyDescent="0.35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 x14ac:dyDescent="0.35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 x14ac:dyDescent="0.35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 x14ac:dyDescent="0.35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 x14ac:dyDescent="0.35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 x14ac:dyDescent="0.35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 x14ac:dyDescent="0.35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 x14ac:dyDescent="0.35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 x14ac:dyDescent="0.35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 x14ac:dyDescent="0.35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 x14ac:dyDescent="0.35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 x14ac:dyDescent="0.35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 x14ac:dyDescent="0.35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 x14ac:dyDescent="0.35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 x14ac:dyDescent="0.35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 x14ac:dyDescent="0.35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 x14ac:dyDescent="0.35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 x14ac:dyDescent="0.35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 x14ac:dyDescent="0.35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 x14ac:dyDescent="0.35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 x14ac:dyDescent="0.35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 x14ac:dyDescent="0.35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 x14ac:dyDescent="0.35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 x14ac:dyDescent="0.35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 x14ac:dyDescent="0.35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 x14ac:dyDescent="0.35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 x14ac:dyDescent="0.35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 x14ac:dyDescent="0.35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 x14ac:dyDescent="0.35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 x14ac:dyDescent="0.35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 x14ac:dyDescent="0.35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 x14ac:dyDescent="0.35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 x14ac:dyDescent="0.35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 x14ac:dyDescent="0.35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 x14ac:dyDescent="0.35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 x14ac:dyDescent="0.35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 x14ac:dyDescent="0.35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 x14ac:dyDescent="0.35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 x14ac:dyDescent="0.35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 x14ac:dyDescent="0.35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 x14ac:dyDescent="0.35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 x14ac:dyDescent="0.35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 x14ac:dyDescent="0.35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 x14ac:dyDescent="0.35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 x14ac:dyDescent="0.35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 x14ac:dyDescent="0.35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 x14ac:dyDescent="0.35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 x14ac:dyDescent="0.35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 x14ac:dyDescent="0.35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 x14ac:dyDescent="0.35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 x14ac:dyDescent="0.35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 x14ac:dyDescent="0.35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 x14ac:dyDescent="0.35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 x14ac:dyDescent="0.35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 x14ac:dyDescent="0.35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 x14ac:dyDescent="0.35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 x14ac:dyDescent="0.35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 x14ac:dyDescent="0.35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 x14ac:dyDescent="0.35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 x14ac:dyDescent="0.35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 x14ac:dyDescent="0.35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 x14ac:dyDescent="0.35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 x14ac:dyDescent="0.35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 x14ac:dyDescent="0.35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 x14ac:dyDescent="0.35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 x14ac:dyDescent="0.35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 x14ac:dyDescent="0.35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 x14ac:dyDescent="0.35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 x14ac:dyDescent="0.35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 x14ac:dyDescent="0.35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 x14ac:dyDescent="0.35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 x14ac:dyDescent="0.35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 x14ac:dyDescent="0.35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 x14ac:dyDescent="0.35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 x14ac:dyDescent="0.35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 x14ac:dyDescent="0.35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 x14ac:dyDescent="0.35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 x14ac:dyDescent="0.35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 x14ac:dyDescent="0.35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 x14ac:dyDescent="0.35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 x14ac:dyDescent="0.35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 x14ac:dyDescent="0.35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 x14ac:dyDescent="0.35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 x14ac:dyDescent="0.35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 x14ac:dyDescent="0.35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 x14ac:dyDescent="0.35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 x14ac:dyDescent="0.35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 x14ac:dyDescent="0.35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 x14ac:dyDescent="0.35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 x14ac:dyDescent="0.35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 x14ac:dyDescent="0.35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 x14ac:dyDescent="0.35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 x14ac:dyDescent="0.35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 x14ac:dyDescent="0.35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 x14ac:dyDescent="0.35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 x14ac:dyDescent="0.35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 x14ac:dyDescent="0.35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 x14ac:dyDescent="0.35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 x14ac:dyDescent="0.35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 x14ac:dyDescent="0.35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 x14ac:dyDescent="0.35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 x14ac:dyDescent="0.35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 x14ac:dyDescent="0.35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 x14ac:dyDescent="0.35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 x14ac:dyDescent="0.35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 x14ac:dyDescent="0.35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 x14ac:dyDescent="0.35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 x14ac:dyDescent="0.35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 x14ac:dyDescent="0.35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 x14ac:dyDescent="0.35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 x14ac:dyDescent="0.35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 x14ac:dyDescent="0.35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 x14ac:dyDescent="0.35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 x14ac:dyDescent="0.35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 x14ac:dyDescent="0.35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 x14ac:dyDescent="0.35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 x14ac:dyDescent="0.35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 x14ac:dyDescent="0.35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 x14ac:dyDescent="0.35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 x14ac:dyDescent="0.35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 x14ac:dyDescent="0.35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 x14ac:dyDescent="0.35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 x14ac:dyDescent="0.35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 x14ac:dyDescent="0.35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 x14ac:dyDescent="0.35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 x14ac:dyDescent="0.35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 x14ac:dyDescent="0.35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 x14ac:dyDescent="0.35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 x14ac:dyDescent="0.35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 x14ac:dyDescent="0.35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 x14ac:dyDescent="0.35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 x14ac:dyDescent="0.35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 x14ac:dyDescent="0.35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 x14ac:dyDescent="0.35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 x14ac:dyDescent="0.35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 x14ac:dyDescent="0.35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 x14ac:dyDescent="0.35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 x14ac:dyDescent="0.35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 x14ac:dyDescent="0.35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 x14ac:dyDescent="0.35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 x14ac:dyDescent="0.35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 x14ac:dyDescent="0.35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 x14ac:dyDescent="0.35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 x14ac:dyDescent="0.35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 x14ac:dyDescent="0.35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 x14ac:dyDescent="0.35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 x14ac:dyDescent="0.35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 x14ac:dyDescent="0.35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 x14ac:dyDescent="0.35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 x14ac:dyDescent="0.35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 x14ac:dyDescent="0.35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 x14ac:dyDescent="0.35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 x14ac:dyDescent="0.35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 x14ac:dyDescent="0.35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 x14ac:dyDescent="0.35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 x14ac:dyDescent="0.35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 x14ac:dyDescent="0.35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 x14ac:dyDescent="0.35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 x14ac:dyDescent="0.35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 x14ac:dyDescent="0.35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 x14ac:dyDescent="0.35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 x14ac:dyDescent="0.35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 x14ac:dyDescent="0.35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 x14ac:dyDescent="0.35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 x14ac:dyDescent="0.35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 x14ac:dyDescent="0.35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 x14ac:dyDescent="0.35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 x14ac:dyDescent="0.35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 x14ac:dyDescent="0.35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 x14ac:dyDescent="0.35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 x14ac:dyDescent="0.35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 x14ac:dyDescent="0.35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 x14ac:dyDescent="0.35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 x14ac:dyDescent="0.35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 x14ac:dyDescent="0.35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 x14ac:dyDescent="0.35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 x14ac:dyDescent="0.35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 x14ac:dyDescent="0.35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 x14ac:dyDescent="0.35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 x14ac:dyDescent="0.35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 x14ac:dyDescent="0.35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 x14ac:dyDescent="0.35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 x14ac:dyDescent="0.35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 x14ac:dyDescent="0.35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 x14ac:dyDescent="0.35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 x14ac:dyDescent="0.35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 x14ac:dyDescent="0.35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 x14ac:dyDescent="0.35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 x14ac:dyDescent="0.35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 x14ac:dyDescent="0.35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 x14ac:dyDescent="0.35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 x14ac:dyDescent="0.35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 x14ac:dyDescent="0.35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 x14ac:dyDescent="0.35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 x14ac:dyDescent="0.35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 x14ac:dyDescent="0.35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 x14ac:dyDescent="0.35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 x14ac:dyDescent="0.35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 x14ac:dyDescent="0.35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 x14ac:dyDescent="0.35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 x14ac:dyDescent="0.35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 x14ac:dyDescent="0.35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 x14ac:dyDescent="0.35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 x14ac:dyDescent="0.35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 x14ac:dyDescent="0.35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 x14ac:dyDescent="0.35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 x14ac:dyDescent="0.35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 x14ac:dyDescent="0.35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 x14ac:dyDescent="0.35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 x14ac:dyDescent="0.35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 x14ac:dyDescent="0.35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 x14ac:dyDescent="0.35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 x14ac:dyDescent="0.35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 x14ac:dyDescent="0.35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 x14ac:dyDescent="0.35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 x14ac:dyDescent="0.35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 x14ac:dyDescent="0.35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 x14ac:dyDescent="0.35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 x14ac:dyDescent="0.35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 x14ac:dyDescent="0.35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 x14ac:dyDescent="0.35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 x14ac:dyDescent="0.35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 x14ac:dyDescent="0.35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 x14ac:dyDescent="0.35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 x14ac:dyDescent="0.35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 x14ac:dyDescent="0.35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 x14ac:dyDescent="0.35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 x14ac:dyDescent="0.35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 x14ac:dyDescent="0.35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 x14ac:dyDescent="0.35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 x14ac:dyDescent="0.35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 x14ac:dyDescent="0.35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 x14ac:dyDescent="0.35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 x14ac:dyDescent="0.35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 x14ac:dyDescent="0.35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 x14ac:dyDescent="0.35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 x14ac:dyDescent="0.35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 x14ac:dyDescent="0.35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 x14ac:dyDescent="0.35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 x14ac:dyDescent="0.35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 x14ac:dyDescent="0.35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 x14ac:dyDescent="0.35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 x14ac:dyDescent="0.35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 x14ac:dyDescent="0.35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 x14ac:dyDescent="0.35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 x14ac:dyDescent="0.35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 x14ac:dyDescent="0.35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 x14ac:dyDescent="0.35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 x14ac:dyDescent="0.35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 x14ac:dyDescent="0.35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 x14ac:dyDescent="0.35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 x14ac:dyDescent="0.35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 x14ac:dyDescent="0.35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 x14ac:dyDescent="0.35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 x14ac:dyDescent="0.35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 x14ac:dyDescent="0.35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 x14ac:dyDescent="0.35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 x14ac:dyDescent="0.35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 x14ac:dyDescent="0.35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 x14ac:dyDescent="0.35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 x14ac:dyDescent="0.35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 x14ac:dyDescent="0.35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 x14ac:dyDescent="0.35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 x14ac:dyDescent="0.35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 x14ac:dyDescent="0.35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 x14ac:dyDescent="0.35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 x14ac:dyDescent="0.35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 x14ac:dyDescent="0.35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 x14ac:dyDescent="0.35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 x14ac:dyDescent="0.35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 x14ac:dyDescent="0.35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 x14ac:dyDescent="0.35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 x14ac:dyDescent="0.35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 x14ac:dyDescent="0.35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 x14ac:dyDescent="0.35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 x14ac:dyDescent="0.35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 x14ac:dyDescent="0.35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 x14ac:dyDescent="0.35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 x14ac:dyDescent="0.35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 x14ac:dyDescent="0.35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 x14ac:dyDescent="0.35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 x14ac:dyDescent="0.35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 x14ac:dyDescent="0.35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 x14ac:dyDescent="0.35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 x14ac:dyDescent="0.35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 x14ac:dyDescent="0.35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 x14ac:dyDescent="0.35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 x14ac:dyDescent="0.35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 x14ac:dyDescent="0.35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 x14ac:dyDescent="0.35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 x14ac:dyDescent="0.35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 x14ac:dyDescent="0.35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 x14ac:dyDescent="0.35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 x14ac:dyDescent="0.35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 x14ac:dyDescent="0.35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 x14ac:dyDescent="0.35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 x14ac:dyDescent="0.35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 x14ac:dyDescent="0.35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 x14ac:dyDescent="0.35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 x14ac:dyDescent="0.35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 x14ac:dyDescent="0.35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 x14ac:dyDescent="0.35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 x14ac:dyDescent="0.35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 x14ac:dyDescent="0.35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 x14ac:dyDescent="0.35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 x14ac:dyDescent="0.35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 x14ac:dyDescent="0.35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 x14ac:dyDescent="0.35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 x14ac:dyDescent="0.35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 x14ac:dyDescent="0.35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 x14ac:dyDescent="0.35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 x14ac:dyDescent="0.35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 x14ac:dyDescent="0.35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 x14ac:dyDescent="0.35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 x14ac:dyDescent="0.35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 x14ac:dyDescent="0.35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 x14ac:dyDescent="0.35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 x14ac:dyDescent="0.35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 x14ac:dyDescent="0.35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 x14ac:dyDescent="0.35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 x14ac:dyDescent="0.35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 x14ac:dyDescent="0.35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 x14ac:dyDescent="0.35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 x14ac:dyDescent="0.35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 x14ac:dyDescent="0.35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 x14ac:dyDescent="0.35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 x14ac:dyDescent="0.35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 x14ac:dyDescent="0.35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 x14ac:dyDescent="0.35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 x14ac:dyDescent="0.35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 x14ac:dyDescent="0.35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 x14ac:dyDescent="0.35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 x14ac:dyDescent="0.35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 x14ac:dyDescent="0.35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 x14ac:dyDescent="0.35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 x14ac:dyDescent="0.35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 x14ac:dyDescent="0.35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 x14ac:dyDescent="0.35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 x14ac:dyDescent="0.35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 x14ac:dyDescent="0.35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 x14ac:dyDescent="0.35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 x14ac:dyDescent="0.35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 x14ac:dyDescent="0.35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 x14ac:dyDescent="0.35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 x14ac:dyDescent="0.35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 x14ac:dyDescent="0.35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 x14ac:dyDescent="0.35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 x14ac:dyDescent="0.35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 x14ac:dyDescent="0.35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 x14ac:dyDescent="0.35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 x14ac:dyDescent="0.35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 x14ac:dyDescent="0.35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 x14ac:dyDescent="0.35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 x14ac:dyDescent="0.35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 x14ac:dyDescent="0.35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 x14ac:dyDescent="0.35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 x14ac:dyDescent="0.35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 x14ac:dyDescent="0.35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 x14ac:dyDescent="0.35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 x14ac:dyDescent="0.35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 x14ac:dyDescent="0.35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 x14ac:dyDescent="0.35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 x14ac:dyDescent="0.35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 x14ac:dyDescent="0.35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 x14ac:dyDescent="0.35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 x14ac:dyDescent="0.35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 x14ac:dyDescent="0.35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 x14ac:dyDescent="0.35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 x14ac:dyDescent="0.35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 x14ac:dyDescent="0.35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 x14ac:dyDescent="0.35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 x14ac:dyDescent="0.35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 x14ac:dyDescent="0.35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 x14ac:dyDescent="0.35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 x14ac:dyDescent="0.35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 x14ac:dyDescent="0.35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 x14ac:dyDescent="0.35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 x14ac:dyDescent="0.35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 x14ac:dyDescent="0.35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 x14ac:dyDescent="0.35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 x14ac:dyDescent="0.35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 x14ac:dyDescent="0.35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 x14ac:dyDescent="0.35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 x14ac:dyDescent="0.35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 x14ac:dyDescent="0.35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 x14ac:dyDescent="0.35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 x14ac:dyDescent="0.35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 x14ac:dyDescent="0.35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 x14ac:dyDescent="0.35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 x14ac:dyDescent="0.35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 x14ac:dyDescent="0.35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 x14ac:dyDescent="0.35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 x14ac:dyDescent="0.35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 x14ac:dyDescent="0.35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 x14ac:dyDescent="0.35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 x14ac:dyDescent="0.35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 x14ac:dyDescent="0.35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 x14ac:dyDescent="0.35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 x14ac:dyDescent="0.35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 x14ac:dyDescent="0.35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 x14ac:dyDescent="0.35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 x14ac:dyDescent="0.35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 x14ac:dyDescent="0.35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 x14ac:dyDescent="0.35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 x14ac:dyDescent="0.35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 x14ac:dyDescent="0.35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 x14ac:dyDescent="0.35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 x14ac:dyDescent="0.35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 x14ac:dyDescent="0.35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 x14ac:dyDescent="0.35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 x14ac:dyDescent="0.35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 x14ac:dyDescent="0.35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 x14ac:dyDescent="0.35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 x14ac:dyDescent="0.35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 x14ac:dyDescent="0.35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 x14ac:dyDescent="0.35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 x14ac:dyDescent="0.35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 x14ac:dyDescent="0.35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 x14ac:dyDescent="0.35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 x14ac:dyDescent="0.35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 x14ac:dyDescent="0.35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 x14ac:dyDescent="0.35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 x14ac:dyDescent="0.35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 x14ac:dyDescent="0.35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 x14ac:dyDescent="0.35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 x14ac:dyDescent="0.35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 x14ac:dyDescent="0.35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 x14ac:dyDescent="0.35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 x14ac:dyDescent="0.35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 x14ac:dyDescent="0.35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 x14ac:dyDescent="0.35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 x14ac:dyDescent="0.35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 x14ac:dyDescent="0.35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 x14ac:dyDescent="0.35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 x14ac:dyDescent="0.35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 x14ac:dyDescent="0.35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 x14ac:dyDescent="0.35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 x14ac:dyDescent="0.35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 x14ac:dyDescent="0.35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 x14ac:dyDescent="0.35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 x14ac:dyDescent="0.35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 x14ac:dyDescent="0.35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 x14ac:dyDescent="0.35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 x14ac:dyDescent="0.35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 x14ac:dyDescent="0.35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 x14ac:dyDescent="0.35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 x14ac:dyDescent="0.35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 x14ac:dyDescent="0.35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 x14ac:dyDescent="0.35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 x14ac:dyDescent="0.35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 x14ac:dyDescent="0.35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 x14ac:dyDescent="0.35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 x14ac:dyDescent="0.35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 x14ac:dyDescent="0.35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 x14ac:dyDescent="0.35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 x14ac:dyDescent="0.35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 x14ac:dyDescent="0.35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 x14ac:dyDescent="0.35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 x14ac:dyDescent="0.35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 x14ac:dyDescent="0.35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 x14ac:dyDescent="0.35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 x14ac:dyDescent="0.35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 x14ac:dyDescent="0.35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 x14ac:dyDescent="0.35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 x14ac:dyDescent="0.35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 x14ac:dyDescent="0.35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 x14ac:dyDescent="0.35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 x14ac:dyDescent="0.35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 x14ac:dyDescent="0.35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 x14ac:dyDescent="0.35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 x14ac:dyDescent="0.35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 x14ac:dyDescent="0.35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 x14ac:dyDescent="0.35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 x14ac:dyDescent="0.35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 x14ac:dyDescent="0.35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 x14ac:dyDescent="0.35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 x14ac:dyDescent="0.35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 x14ac:dyDescent="0.35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 x14ac:dyDescent="0.35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 x14ac:dyDescent="0.35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 x14ac:dyDescent="0.35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 x14ac:dyDescent="0.35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 x14ac:dyDescent="0.35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 x14ac:dyDescent="0.35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 x14ac:dyDescent="0.35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 x14ac:dyDescent="0.35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 x14ac:dyDescent="0.35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 x14ac:dyDescent="0.35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 x14ac:dyDescent="0.35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 x14ac:dyDescent="0.35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 x14ac:dyDescent="0.35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 x14ac:dyDescent="0.35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 x14ac:dyDescent="0.35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 x14ac:dyDescent="0.35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 x14ac:dyDescent="0.35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 x14ac:dyDescent="0.35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 x14ac:dyDescent="0.35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 x14ac:dyDescent="0.35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 x14ac:dyDescent="0.35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 x14ac:dyDescent="0.35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 x14ac:dyDescent="0.35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 x14ac:dyDescent="0.35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 x14ac:dyDescent="0.35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 x14ac:dyDescent="0.35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 x14ac:dyDescent="0.35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 x14ac:dyDescent="0.35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 x14ac:dyDescent="0.35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 x14ac:dyDescent="0.35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 x14ac:dyDescent="0.35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 x14ac:dyDescent="0.35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 x14ac:dyDescent="0.35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 x14ac:dyDescent="0.35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 x14ac:dyDescent="0.35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 x14ac:dyDescent="0.35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 x14ac:dyDescent="0.35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 x14ac:dyDescent="0.35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 x14ac:dyDescent="0.35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 x14ac:dyDescent="0.35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 x14ac:dyDescent="0.35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 x14ac:dyDescent="0.35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 x14ac:dyDescent="0.35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 x14ac:dyDescent="0.35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 x14ac:dyDescent="0.35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 x14ac:dyDescent="0.35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 x14ac:dyDescent="0.35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 x14ac:dyDescent="0.35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 x14ac:dyDescent="0.35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 x14ac:dyDescent="0.35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 x14ac:dyDescent="0.35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 x14ac:dyDescent="0.35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 x14ac:dyDescent="0.35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 x14ac:dyDescent="0.35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 x14ac:dyDescent="0.35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 x14ac:dyDescent="0.35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 x14ac:dyDescent="0.35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 x14ac:dyDescent="0.35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 x14ac:dyDescent="0.35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 x14ac:dyDescent="0.35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 x14ac:dyDescent="0.35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 x14ac:dyDescent="0.35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 x14ac:dyDescent="0.35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 x14ac:dyDescent="0.35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 x14ac:dyDescent="0.35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 x14ac:dyDescent="0.35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 x14ac:dyDescent="0.35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 x14ac:dyDescent="0.35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 x14ac:dyDescent="0.35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 x14ac:dyDescent="0.35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 x14ac:dyDescent="0.35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 x14ac:dyDescent="0.35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 x14ac:dyDescent="0.35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 x14ac:dyDescent="0.35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 x14ac:dyDescent="0.35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 x14ac:dyDescent="0.35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 x14ac:dyDescent="0.35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 x14ac:dyDescent="0.35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 x14ac:dyDescent="0.35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 x14ac:dyDescent="0.35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 x14ac:dyDescent="0.35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 x14ac:dyDescent="0.35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 x14ac:dyDescent="0.35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 x14ac:dyDescent="0.35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 x14ac:dyDescent="0.35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 x14ac:dyDescent="0.35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 x14ac:dyDescent="0.35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 x14ac:dyDescent="0.35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 x14ac:dyDescent="0.35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 x14ac:dyDescent="0.35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 x14ac:dyDescent="0.35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 x14ac:dyDescent="0.35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 x14ac:dyDescent="0.35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 x14ac:dyDescent="0.35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 x14ac:dyDescent="0.35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 x14ac:dyDescent="0.35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 x14ac:dyDescent="0.35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 x14ac:dyDescent="0.35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 x14ac:dyDescent="0.35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 x14ac:dyDescent="0.35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 x14ac:dyDescent="0.35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 x14ac:dyDescent="0.35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 x14ac:dyDescent="0.35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 x14ac:dyDescent="0.35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 x14ac:dyDescent="0.35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 x14ac:dyDescent="0.35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 x14ac:dyDescent="0.35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 x14ac:dyDescent="0.35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 x14ac:dyDescent="0.35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 x14ac:dyDescent="0.35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 x14ac:dyDescent="0.35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 x14ac:dyDescent="0.35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 x14ac:dyDescent="0.35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 x14ac:dyDescent="0.35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 x14ac:dyDescent="0.35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 x14ac:dyDescent="0.35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 x14ac:dyDescent="0.35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 x14ac:dyDescent="0.35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 x14ac:dyDescent="0.35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 x14ac:dyDescent="0.35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 x14ac:dyDescent="0.35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 x14ac:dyDescent="0.35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 x14ac:dyDescent="0.35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 x14ac:dyDescent="0.35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 x14ac:dyDescent="0.35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 x14ac:dyDescent="0.35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 x14ac:dyDescent="0.35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 x14ac:dyDescent="0.35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 x14ac:dyDescent="0.35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 x14ac:dyDescent="0.35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 x14ac:dyDescent="0.35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 x14ac:dyDescent="0.35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 x14ac:dyDescent="0.35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 x14ac:dyDescent="0.35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 x14ac:dyDescent="0.35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 x14ac:dyDescent="0.35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 x14ac:dyDescent="0.35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 x14ac:dyDescent="0.35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 x14ac:dyDescent="0.35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 x14ac:dyDescent="0.35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 x14ac:dyDescent="0.35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 x14ac:dyDescent="0.35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 x14ac:dyDescent="0.35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 x14ac:dyDescent="0.35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 x14ac:dyDescent="0.35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 x14ac:dyDescent="0.35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 x14ac:dyDescent="0.35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 x14ac:dyDescent="0.35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 x14ac:dyDescent="0.35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 x14ac:dyDescent="0.35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 x14ac:dyDescent="0.35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 x14ac:dyDescent="0.35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 x14ac:dyDescent="0.35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 x14ac:dyDescent="0.35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 x14ac:dyDescent="0.35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 x14ac:dyDescent="0.35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 x14ac:dyDescent="0.35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 x14ac:dyDescent="0.35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 x14ac:dyDescent="0.35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 x14ac:dyDescent="0.35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 x14ac:dyDescent="0.35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 x14ac:dyDescent="0.35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 x14ac:dyDescent="0.35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 x14ac:dyDescent="0.35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 x14ac:dyDescent="0.35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 x14ac:dyDescent="0.35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 x14ac:dyDescent="0.35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 x14ac:dyDescent="0.35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 x14ac:dyDescent="0.35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 x14ac:dyDescent="0.35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 x14ac:dyDescent="0.35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 x14ac:dyDescent="0.35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 x14ac:dyDescent="0.35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 x14ac:dyDescent="0.35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 x14ac:dyDescent="0.35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 x14ac:dyDescent="0.35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 x14ac:dyDescent="0.35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 x14ac:dyDescent="0.35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 x14ac:dyDescent="0.35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 x14ac:dyDescent="0.35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 x14ac:dyDescent="0.35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 x14ac:dyDescent="0.35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 x14ac:dyDescent="0.35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 x14ac:dyDescent="0.35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 x14ac:dyDescent="0.35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 x14ac:dyDescent="0.35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 x14ac:dyDescent="0.35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 x14ac:dyDescent="0.35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 x14ac:dyDescent="0.35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 x14ac:dyDescent="0.35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 x14ac:dyDescent="0.35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 x14ac:dyDescent="0.35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 x14ac:dyDescent="0.35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 x14ac:dyDescent="0.35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 x14ac:dyDescent="0.35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 x14ac:dyDescent="0.35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 x14ac:dyDescent="0.35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 x14ac:dyDescent="0.35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 x14ac:dyDescent="0.35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 x14ac:dyDescent="0.35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 x14ac:dyDescent="0.35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 x14ac:dyDescent="0.35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 x14ac:dyDescent="0.35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 x14ac:dyDescent="0.35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 x14ac:dyDescent="0.35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 x14ac:dyDescent="0.35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 x14ac:dyDescent="0.35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 x14ac:dyDescent="0.35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 x14ac:dyDescent="0.35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 x14ac:dyDescent="0.35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 x14ac:dyDescent="0.35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 x14ac:dyDescent="0.35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 x14ac:dyDescent="0.35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 x14ac:dyDescent="0.35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 x14ac:dyDescent="0.35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 x14ac:dyDescent="0.35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 x14ac:dyDescent="0.35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 x14ac:dyDescent="0.35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 x14ac:dyDescent="0.35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 x14ac:dyDescent="0.35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 x14ac:dyDescent="0.35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 x14ac:dyDescent="0.35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 x14ac:dyDescent="0.35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 x14ac:dyDescent="0.35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 x14ac:dyDescent="0.35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 x14ac:dyDescent="0.35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 x14ac:dyDescent="0.35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 x14ac:dyDescent="0.35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 x14ac:dyDescent="0.35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 x14ac:dyDescent="0.35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 x14ac:dyDescent="0.35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 x14ac:dyDescent="0.35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 x14ac:dyDescent="0.35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 x14ac:dyDescent="0.35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 x14ac:dyDescent="0.35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 x14ac:dyDescent="0.35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 x14ac:dyDescent="0.35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 x14ac:dyDescent="0.35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 x14ac:dyDescent="0.35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 x14ac:dyDescent="0.35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 x14ac:dyDescent="0.35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 x14ac:dyDescent="0.35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 x14ac:dyDescent="0.35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 x14ac:dyDescent="0.35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 x14ac:dyDescent="0.35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 x14ac:dyDescent="0.35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 x14ac:dyDescent="0.35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 x14ac:dyDescent="0.35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 x14ac:dyDescent="0.35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 x14ac:dyDescent="0.35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 x14ac:dyDescent="0.35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 x14ac:dyDescent="0.35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 x14ac:dyDescent="0.35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 x14ac:dyDescent="0.35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 x14ac:dyDescent="0.35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 x14ac:dyDescent="0.35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 x14ac:dyDescent="0.35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 x14ac:dyDescent="0.35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 x14ac:dyDescent="0.35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 x14ac:dyDescent="0.35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 x14ac:dyDescent="0.35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 x14ac:dyDescent="0.35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 x14ac:dyDescent="0.35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 x14ac:dyDescent="0.35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 x14ac:dyDescent="0.35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 x14ac:dyDescent="0.35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 x14ac:dyDescent="0.35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 x14ac:dyDescent="0.35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 x14ac:dyDescent="0.35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 x14ac:dyDescent="0.35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 x14ac:dyDescent="0.35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 x14ac:dyDescent="0.35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 x14ac:dyDescent="0.35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 x14ac:dyDescent="0.35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 x14ac:dyDescent="0.35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 x14ac:dyDescent="0.35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 x14ac:dyDescent="0.35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 x14ac:dyDescent="0.35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 x14ac:dyDescent="0.35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 x14ac:dyDescent="0.35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 x14ac:dyDescent="0.35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 x14ac:dyDescent="0.35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 x14ac:dyDescent="0.35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 x14ac:dyDescent="0.35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 x14ac:dyDescent="0.35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 x14ac:dyDescent="0.35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 x14ac:dyDescent="0.35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 x14ac:dyDescent="0.35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 x14ac:dyDescent="0.35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 x14ac:dyDescent="0.35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 x14ac:dyDescent="0.35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 x14ac:dyDescent="0.35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 x14ac:dyDescent="0.35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 x14ac:dyDescent="0.35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 x14ac:dyDescent="0.35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 x14ac:dyDescent="0.35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 x14ac:dyDescent="0.35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 x14ac:dyDescent="0.35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 x14ac:dyDescent="0.35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 x14ac:dyDescent="0.35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 x14ac:dyDescent="0.35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 x14ac:dyDescent="0.35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 x14ac:dyDescent="0.35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 x14ac:dyDescent="0.35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 x14ac:dyDescent="0.35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 x14ac:dyDescent="0.35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 x14ac:dyDescent="0.35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 x14ac:dyDescent="0.35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 x14ac:dyDescent="0.35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 x14ac:dyDescent="0.35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 x14ac:dyDescent="0.35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 x14ac:dyDescent="0.35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 x14ac:dyDescent="0.35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 x14ac:dyDescent="0.35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 x14ac:dyDescent="0.35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 x14ac:dyDescent="0.35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 x14ac:dyDescent="0.35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 x14ac:dyDescent="0.35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 x14ac:dyDescent="0.35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 x14ac:dyDescent="0.35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 x14ac:dyDescent="0.35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 x14ac:dyDescent="0.35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 x14ac:dyDescent="0.35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 x14ac:dyDescent="0.35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 x14ac:dyDescent="0.35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 x14ac:dyDescent="0.35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 x14ac:dyDescent="0.35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 x14ac:dyDescent="0.35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 x14ac:dyDescent="0.35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 x14ac:dyDescent="0.35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 x14ac:dyDescent="0.35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 x14ac:dyDescent="0.35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 x14ac:dyDescent="0.35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 x14ac:dyDescent="0.35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 x14ac:dyDescent="0.35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 x14ac:dyDescent="0.35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 x14ac:dyDescent="0.35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 x14ac:dyDescent="0.35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 x14ac:dyDescent="0.35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 x14ac:dyDescent="0.35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 x14ac:dyDescent="0.35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 x14ac:dyDescent="0.35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 x14ac:dyDescent="0.35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 x14ac:dyDescent="0.35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 x14ac:dyDescent="0.35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 x14ac:dyDescent="0.35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 x14ac:dyDescent="0.35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 x14ac:dyDescent="0.35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 x14ac:dyDescent="0.35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 x14ac:dyDescent="0.35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 x14ac:dyDescent="0.35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 x14ac:dyDescent="0.35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 x14ac:dyDescent="0.35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 x14ac:dyDescent="0.35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 x14ac:dyDescent="0.35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 x14ac:dyDescent="0.35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 x14ac:dyDescent="0.35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 x14ac:dyDescent="0.35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 x14ac:dyDescent="0.35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 x14ac:dyDescent="0.35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 x14ac:dyDescent="0.35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 x14ac:dyDescent="0.35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 x14ac:dyDescent="0.35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 x14ac:dyDescent="0.35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 x14ac:dyDescent="0.35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 x14ac:dyDescent="0.35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 x14ac:dyDescent="0.35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 x14ac:dyDescent="0.35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 x14ac:dyDescent="0.35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 x14ac:dyDescent="0.35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 x14ac:dyDescent="0.35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 x14ac:dyDescent="0.35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 x14ac:dyDescent="0.35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 x14ac:dyDescent="0.35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 x14ac:dyDescent="0.35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 x14ac:dyDescent="0.35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 x14ac:dyDescent="0.35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 x14ac:dyDescent="0.35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 x14ac:dyDescent="0.35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 x14ac:dyDescent="0.35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 x14ac:dyDescent="0.35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 x14ac:dyDescent="0.35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 x14ac:dyDescent="0.35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 x14ac:dyDescent="0.35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 x14ac:dyDescent="0.35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 x14ac:dyDescent="0.35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 x14ac:dyDescent="0.35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 x14ac:dyDescent="0.35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 x14ac:dyDescent="0.35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 x14ac:dyDescent="0.35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 x14ac:dyDescent="0.35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 x14ac:dyDescent="0.35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 x14ac:dyDescent="0.35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 x14ac:dyDescent="0.35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 x14ac:dyDescent="0.35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 x14ac:dyDescent="0.35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 x14ac:dyDescent="0.35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 x14ac:dyDescent="0.35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 x14ac:dyDescent="0.35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 x14ac:dyDescent="0.35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 x14ac:dyDescent="0.35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 x14ac:dyDescent="0.35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 x14ac:dyDescent="0.35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 x14ac:dyDescent="0.35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 x14ac:dyDescent="0.35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 x14ac:dyDescent="0.35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 x14ac:dyDescent="0.35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 x14ac:dyDescent="0.35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 x14ac:dyDescent="0.35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 x14ac:dyDescent="0.35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 x14ac:dyDescent="0.35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 x14ac:dyDescent="0.35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 x14ac:dyDescent="0.35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 x14ac:dyDescent="0.35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 x14ac:dyDescent="0.35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 x14ac:dyDescent="0.35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 x14ac:dyDescent="0.35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 x14ac:dyDescent="0.35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 x14ac:dyDescent="0.35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 x14ac:dyDescent="0.35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 x14ac:dyDescent="0.35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 x14ac:dyDescent="0.35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 x14ac:dyDescent="0.35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 x14ac:dyDescent="0.35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 x14ac:dyDescent="0.35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 x14ac:dyDescent="0.35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 x14ac:dyDescent="0.35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 x14ac:dyDescent="0.35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 x14ac:dyDescent="0.35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 x14ac:dyDescent="0.35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 x14ac:dyDescent="0.35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 x14ac:dyDescent="0.35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 x14ac:dyDescent="0.35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 x14ac:dyDescent="0.35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 x14ac:dyDescent="0.35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 x14ac:dyDescent="0.35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 x14ac:dyDescent="0.35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 x14ac:dyDescent="0.35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 x14ac:dyDescent="0.35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 x14ac:dyDescent="0.35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 x14ac:dyDescent="0.35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 x14ac:dyDescent="0.35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 x14ac:dyDescent="0.35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 x14ac:dyDescent="0.35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 x14ac:dyDescent="0.35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 x14ac:dyDescent="0.35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 x14ac:dyDescent="0.35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 x14ac:dyDescent="0.35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 x14ac:dyDescent="0.35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 x14ac:dyDescent="0.35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 x14ac:dyDescent="0.35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 x14ac:dyDescent="0.35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 x14ac:dyDescent="0.35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 x14ac:dyDescent="0.35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 x14ac:dyDescent="0.35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 x14ac:dyDescent="0.35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 x14ac:dyDescent="0.35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 x14ac:dyDescent="0.35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 x14ac:dyDescent="0.35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 x14ac:dyDescent="0.35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 x14ac:dyDescent="0.35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 x14ac:dyDescent="0.35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 x14ac:dyDescent="0.35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 x14ac:dyDescent="0.35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 x14ac:dyDescent="0.35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 x14ac:dyDescent="0.35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 x14ac:dyDescent="0.35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 x14ac:dyDescent="0.35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 x14ac:dyDescent="0.35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 x14ac:dyDescent="0.35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 x14ac:dyDescent="0.35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 x14ac:dyDescent="0.35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 x14ac:dyDescent="0.35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 x14ac:dyDescent="0.35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 x14ac:dyDescent="0.35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 x14ac:dyDescent="0.35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 x14ac:dyDescent="0.35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 x14ac:dyDescent="0.35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 x14ac:dyDescent="0.35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 x14ac:dyDescent="0.35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 x14ac:dyDescent="0.35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 x14ac:dyDescent="0.35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 x14ac:dyDescent="0.35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 x14ac:dyDescent="0.35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 x14ac:dyDescent="0.35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 x14ac:dyDescent="0.35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 x14ac:dyDescent="0.35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 x14ac:dyDescent="0.35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 x14ac:dyDescent="0.35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 x14ac:dyDescent="0.35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 x14ac:dyDescent="0.35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 x14ac:dyDescent="0.35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 x14ac:dyDescent="0.35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 x14ac:dyDescent="0.35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 x14ac:dyDescent="0.35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 x14ac:dyDescent="0.35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 x14ac:dyDescent="0.35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 x14ac:dyDescent="0.35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 x14ac:dyDescent="0.35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 x14ac:dyDescent="0.35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 x14ac:dyDescent="0.35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 x14ac:dyDescent="0.35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 x14ac:dyDescent="0.35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 x14ac:dyDescent="0.35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 x14ac:dyDescent="0.35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 x14ac:dyDescent="0.35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 x14ac:dyDescent="0.35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 x14ac:dyDescent="0.35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 x14ac:dyDescent="0.35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 x14ac:dyDescent="0.35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 x14ac:dyDescent="0.35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 x14ac:dyDescent="0.35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 x14ac:dyDescent="0.35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 x14ac:dyDescent="0.35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 x14ac:dyDescent="0.35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 x14ac:dyDescent="0.35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 x14ac:dyDescent="0.35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 x14ac:dyDescent="0.35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 x14ac:dyDescent="0.35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 x14ac:dyDescent="0.35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 x14ac:dyDescent="0.35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 x14ac:dyDescent="0.35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 x14ac:dyDescent="0.35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 x14ac:dyDescent="0.35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 x14ac:dyDescent="0.35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 x14ac:dyDescent="0.35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 x14ac:dyDescent="0.35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 x14ac:dyDescent="0.35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 x14ac:dyDescent="0.35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 x14ac:dyDescent="0.35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 x14ac:dyDescent="0.35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 x14ac:dyDescent="0.35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 x14ac:dyDescent="0.35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 x14ac:dyDescent="0.35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 x14ac:dyDescent="0.35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 x14ac:dyDescent="0.35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 x14ac:dyDescent="0.35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 x14ac:dyDescent="0.35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 x14ac:dyDescent="0.35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 x14ac:dyDescent="0.35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 x14ac:dyDescent="0.35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 x14ac:dyDescent="0.35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 x14ac:dyDescent="0.35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 x14ac:dyDescent="0.35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 x14ac:dyDescent="0.35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 x14ac:dyDescent="0.35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 x14ac:dyDescent="0.35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 x14ac:dyDescent="0.35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 x14ac:dyDescent="0.35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 x14ac:dyDescent="0.35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 x14ac:dyDescent="0.35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 x14ac:dyDescent="0.35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 x14ac:dyDescent="0.35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 x14ac:dyDescent="0.35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 x14ac:dyDescent="0.35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 x14ac:dyDescent="0.35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 x14ac:dyDescent="0.35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 x14ac:dyDescent="0.35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 x14ac:dyDescent="0.35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 x14ac:dyDescent="0.35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 x14ac:dyDescent="0.35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 x14ac:dyDescent="0.35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 x14ac:dyDescent="0.35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 x14ac:dyDescent="0.35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 x14ac:dyDescent="0.35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 x14ac:dyDescent="0.35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 x14ac:dyDescent="0.35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 x14ac:dyDescent="0.35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 x14ac:dyDescent="0.35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 x14ac:dyDescent="0.35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 x14ac:dyDescent="0.35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 x14ac:dyDescent="0.35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 x14ac:dyDescent="0.35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 x14ac:dyDescent="0.35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 x14ac:dyDescent="0.35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 x14ac:dyDescent="0.35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 x14ac:dyDescent="0.35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 x14ac:dyDescent="0.35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 x14ac:dyDescent="0.35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 x14ac:dyDescent="0.35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 x14ac:dyDescent="0.35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 x14ac:dyDescent="0.35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 x14ac:dyDescent="0.35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 x14ac:dyDescent="0.35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 x14ac:dyDescent="0.35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 x14ac:dyDescent="0.35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 x14ac:dyDescent="0.35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 x14ac:dyDescent="0.35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 x14ac:dyDescent="0.35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 x14ac:dyDescent="0.35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 x14ac:dyDescent="0.35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 x14ac:dyDescent="0.35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 x14ac:dyDescent="0.35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 x14ac:dyDescent="0.35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 x14ac:dyDescent="0.35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 x14ac:dyDescent="0.35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 x14ac:dyDescent="0.35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 x14ac:dyDescent="0.35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 x14ac:dyDescent="0.35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 x14ac:dyDescent="0.35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 x14ac:dyDescent="0.35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 x14ac:dyDescent="0.35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 x14ac:dyDescent="0.35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 x14ac:dyDescent="0.35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 x14ac:dyDescent="0.35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 x14ac:dyDescent="0.35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 x14ac:dyDescent="0.35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 x14ac:dyDescent="0.35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 x14ac:dyDescent="0.35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 x14ac:dyDescent="0.35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 x14ac:dyDescent="0.35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 x14ac:dyDescent="0.35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 x14ac:dyDescent="0.35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 x14ac:dyDescent="0.35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 x14ac:dyDescent="0.35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 x14ac:dyDescent="0.35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 x14ac:dyDescent="0.35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 x14ac:dyDescent="0.35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 x14ac:dyDescent="0.35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 x14ac:dyDescent="0.35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 x14ac:dyDescent="0.35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 x14ac:dyDescent="0.35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 x14ac:dyDescent="0.35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 x14ac:dyDescent="0.35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 x14ac:dyDescent="0.35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 x14ac:dyDescent="0.35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 x14ac:dyDescent="0.35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 x14ac:dyDescent="0.35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 x14ac:dyDescent="0.35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 x14ac:dyDescent="0.35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 x14ac:dyDescent="0.35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 x14ac:dyDescent="0.35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 x14ac:dyDescent="0.35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 x14ac:dyDescent="0.35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 x14ac:dyDescent="0.35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 x14ac:dyDescent="0.35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 x14ac:dyDescent="0.35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 x14ac:dyDescent="0.35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 x14ac:dyDescent="0.35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 x14ac:dyDescent="0.35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 x14ac:dyDescent="0.35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 x14ac:dyDescent="0.35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 x14ac:dyDescent="0.35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 x14ac:dyDescent="0.35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 x14ac:dyDescent="0.35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 x14ac:dyDescent="0.35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 x14ac:dyDescent="0.35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 x14ac:dyDescent="0.35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 x14ac:dyDescent="0.35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 x14ac:dyDescent="0.35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 x14ac:dyDescent="0.35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 x14ac:dyDescent="0.35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 x14ac:dyDescent="0.35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 x14ac:dyDescent="0.35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 x14ac:dyDescent="0.35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 x14ac:dyDescent="0.35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 x14ac:dyDescent="0.35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 x14ac:dyDescent="0.35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 x14ac:dyDescent="0.35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 x14ac:dyDescent="0.35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 x14ac:dyDescent="0.35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 x14ac:dyDescent="0.35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 x14ac:dyDescent="0.35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 x14ac:dyDescent="0.35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 x14ac:dyDescent="0.35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 x14ac:dyDescent="0.35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 x14ac:dyDescent="0.35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 x14ac:dyDescent="0.35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 x14ac:dyDescent="0.35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 x14ac:dyDescent="0.35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 x14ac:dyDescent="0.35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 x14ac:dyDescent="0.35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 x14ac:dyDescent="0.35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 x14ac:dyDescent="0.35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 x14ac:dyDescent="0.35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 x14ac:dyDescent="0.35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 x14ac:dyDescent="0.35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 x14ac:dyDescent="0.35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 x14ac:dyDescent="0.35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 x14ac:dyDescent="0.35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 x14ac:dyDescent="0.35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 x14ac:dyDescent="0.35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 x14ac:dyDescent="0.35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 x14ac:dyDescent="0.35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 x14ac:dyDescent="0.35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 x14ac:dyDescent="0.35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 x14ac:dyDescent="0.35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 x14ac:dyDescent="0.35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 x14ac:dyDescent="0.35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 x14ac:dyDescent="0.35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 x14ac:dyDescent="0.35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 x14ac:dyDescent="0.35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 x14ac:dyDescent="0.35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 x14ac:dyDescent="0.35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 x14ac:dyDescent="0.35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 x14ac:dyDescent="0.35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 x14ac:dyDescent="0.35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 x14ac:dyDescent="0.35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 x14ac:dyDescent="0.35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 x14ac:dyDescent="0.35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 x14ac:dyDescent="0.35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 x14ac:dyDescent="0.35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 x14ac:dyDescent="0.35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 x14ac:dyDescent="0.35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 x14ac:dyDescent="0.35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 x14ac:dyDescent="0.35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 x14ac:dyDescent="0.35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 x14ac:dyDescent="0.35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 x14ac:dyDescent="0.35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 x14ac:dyDescent="0.35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 x14ac:dyDescent="0.35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 x14ac:dyDescent="0.35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 x14ac:dyDescent="0.35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 x14ac:dyDescent="0.35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 x14ac:dyDescent="0.35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 x14ac:dyDescent="0.35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 x14ac:dyDescent="0.35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 x14ac:dyDescent="0.35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 x14ac:dyDescent="0.35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 x14ac:dyDescent="0.35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 x14ac:dyDescent="0.35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 x14ac:dyDescent="0.35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 x14ac:dyDescent="0.35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 x14ac:dyDescent="0.35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 x14ac:dyDescent="0.35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 x14ac:dyDescent="0.35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 x14ac:dyDescent="0.35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 x14ac:dyDescent="0.35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 x14ac:dyDescent="0.35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 x14ac:dyDescent="0.35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 x14ac:dyDescent="0.35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 x14ac:dyDescent="0.35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 x14ac:dyDescent="0.35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 x14ac:dyDescent="0.35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 x14ac:dyDescent="0.35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 x14ac:dyDescent="0.35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 x14ac:dyDescent="0.35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 x14ac:dyDescent="0.35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 x14ac:dyDescent="0.35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 x14ac:dyDescent="0.35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 x14ac:dyDescent="0.35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 x14ac:dyDescent="0.35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 x14ac:dyDescent="0.35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 x14ac:dyDescent="0.35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 x14ac:dyDescent="0.35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 x14ac:dyDescent="0.35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 x14ac:dyDescent="0.35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 x14ac:dyDescent="0.35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 x14ac:dyDescent="0.35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 x14ac:dyDescent="0.35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 x14ac:dyDescent="0.35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 x14ac:dyDescent="0.35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 x14ac:dyDescent="0.35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 x14ac:dyDescent="0.35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 x14ac:dyDescent="0.35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 x14ac:dyDescent="0.35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 x14ac:dyDescent="0.35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 x14ac:dyDescent="0.35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 x14ac:dyDescent="0.35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 x14ac:dyDescent="0.35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 x14ac:dyDescent="0.35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 x14ac:dyDescent="0.35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 x14ac:dyDescent="0.35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 x14ac:dyDescent="0.35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 x14ac:dyDescent="0.35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 x14ac:dyDescent="0.35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 x14ac:dyDescent="0.35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 x14ac:dyDescent="0.35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 x14ac:dyDescent="0.35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 x14ac:dyDescent="0.35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 x14ac:dyDescent="0.35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 x14ac:dyDescent="0.35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 x14ac:dyDescent="0.35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 x14ac:dyDescent="0.35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 x14ac:dyDescent="0.35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 x14ac:dyDescent="0.35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 x14ac:dyDescent="0.35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 x14ac:dyDescent="0.35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 x14ac:dyDescent="0.35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 x14ac:dyDescent="0.35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 x14ac:dyDescent="0.35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 x14ac:dyDescent="0.35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 x14ac:dyDescent="0.35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 x14ac:dyDescent="0.35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 x14ac:dyDescent="0.35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 x14ac:dyDescent="0.35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 x14ac:dyDescent="0.35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 x14ac:dyDescent="0.35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 x14ac:dyDescent="0.35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 x14ac:dyDescent="0.35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 x14ac:dyDescent="0.35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 x14ac:dyDescent="0.35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 x14ac:dyDescent="0.35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 x14ac:dyDescent="0.35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 x14ac:dyDescent="0.35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 x14ac:dyDescent="0.35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 x14ac:dyDescent="0.35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 x14ac:dyDescent="0.35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 x14ac:dyDescent="0.35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 x14ac:dyDescent="0.35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 x14ac:dyDescent="0.35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 x14ac:dyDescent="0.35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 x14ac:dyDescent="0.35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 x14ac:dyDescent="0.35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 x14ac:dyDescent="0.35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 x14ac:dyDescent="0.35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 x14ac:dyDescent="0.35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 x14ac:dyDescent="0.35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 x14ac:dyDescent="0.35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 x14ac:dyDescent="0.35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 x14ac:dyDescent="0.35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 x14ac:dyDescent="0.35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 x14ac:dyDescent="0.35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 x14ac:dyDescent="0.35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 x14ac:dyDescent="0.35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 x14ac:dyDescent="0.35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 x14ac:dyDescent="0.35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 x14ac:dyDescent="0.35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 x14ac:dyDescent="0.35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 x14ac:dyDescent="0.35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 x14ac:dyDescent="0.35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 x14ac:dyDescent="0.35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 x14ac:dyDescent="0.35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 x14ac:dyDescent="0.35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 x14ac:dyDescent="0.35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 x14ac:dyDescent="0.35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 x14ac:dyDescent="0.35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 x14ac:dyDescent="0.35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 x14ac:dyDescent="0.35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 x14ac:dyDescent="0.35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 x14ac:dyDescent="0.35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 x14ac:dyDescent="0.35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 x14ac:dyDescent="0.35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 x14ac:dyDescent="0.35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 x14ac:dyDescent="0.35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 x14ac:dyDescent="0.35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 x14ac:dyDescent="0.35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 x14ac:dyDescent="0.35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 x14ac:dyDescent="0.35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 x14ac:dyDescent="0.35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 x14ac:dyDescent="0.35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 x14ac:dyDescent="0.35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 x14ac:dyDescent="0.35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 x14ac:dyDescent="0.35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 x14ac:dyDescent="0.35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 x14ac:dyDescent="0.35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 x14ac:dyDescent="0.35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 x14ac:dyDescent="0.35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 x14ac:dyDescent="0.35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 x14ac:dyDescent="0.35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 x14ac:dyDescent="0.35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 x14ac:dyDescent="0.35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 x14ac:dyDescent="0.35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 x14ac:dyDescent="0.35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 x14ac:dyDescent="0.35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 x14ac:dyDescent="0.35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 x14ac:dyDescent="0.35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 x14ac:dyDescent="0.35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 x14ac:dyDescent="0.35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 x14ac:dyDescent="0.35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 x14ac:dyDescent="0.35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 x14ac:dyDescent="0.35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 x14ac:dyDescent="0.35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 x14ac:dyDescent="0.35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 x14ac:dyDescent="0.35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 x14ac:dyDescent="0.35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 x14ac:dyDescent="0.35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 x14ac:dyDescent="0.35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 x14ac:dyDescent="0.35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 x14ac:dyDescent="0.35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 x14ac:dyDescent="0.35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 x14ac:dyDescent="0.35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 x14ac:dyDescent="0.35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 x14ac:dyDescent="0.35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 x14ac:dyDescent="0.35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 x14ac:dyDescent="0.35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 x14ac:dyDescent="0.35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 x14ac:dyDescent="0.35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 x14ac:dyDescent="0.35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 x14ac:dyDescent="0.35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 x14ac:dyDescent="0.35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 x14ac:dyDescent="0.35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 x14ac:dyDescent="0.35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 x14ac:dyDescent="0.35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 x14ac:dyDescent="0.35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 x14ac:dyDescent="0.35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 x14ac:dyDescent="0.35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 x14ac:dyDescent="0.35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 x14ac:dyDescent="0.35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 x14ac:dyDescent="0.35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 x14ac:dyDescent="0.35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 x14ac:dyDescent="0.35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 x14ac:dyDescent="0.35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 x14ac:dyDescent="0.35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 x14ac:dyDescent="0.35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 x14ac:dyDescent="0.35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 x14ac:dyDescent="0.35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 x14ac:dyDescent="0.35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 x14ac:dyDescent="0.35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 x14ac:dyDescent="0.35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 x14ac:dyDescent="0.35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 x14ac:dyDescent="0.35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 x14ac:dyDescent="0.35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 x14ac:dyDescent="0.35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 x14ac:dyDescent="0.35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 x14ac:dyDescent="0.35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 x14ac:dyDescent="0.35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 x14ac:dyDescent="0.35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 x14ac:dyDescent="0.35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 x14ac:dyDescent="0.35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 x14ac:dyDescent="0.35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 x14ac:dyDescent="0.35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 x14ac:dyDescent="0.35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 x14ac:dyDescent="0.35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 x14ac:dyDescent="0.35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 x14ac:dyDescent="0.35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 x14ac:dyDescent="0.35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 x14ac:dyDescent="0.35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 x14ac:dyDescent="0.35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 x14ac:dyDescent="0.35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 x14ac:dyDescent="0.35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 x14ac:dyDescent="0.35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 x14ac:dyDescent="0.35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 x14ac:dyDescent="0.35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 x14ac:dyDescent="0.35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 x14ac:dyDescent="0.35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 x14ac:dyDescent="0.35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 x14ac:dyDescent="0.35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 x14ac:dyDescent="0.35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 x14ac:dyDescent="0.35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 x14ac:dyDescent="0.35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 x14ac:dyDescent="0.35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 x14ac:dyDescent="0.35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 x14ac:dyDescent="0.35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 x14ac:dyDescent="0.35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 x14ac:dyDescent="0.35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 x14ac:dyDescent="0.35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 x14ac:dyDescent="0.35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 x14ac:dyDescent="0.35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 x14ac:dyDescent="0.35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 x14ac:dyDescent="0.35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 x14ac:dyDescent="0.35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 x14ac:dyDescent="0.35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 x14ac:dyDescent="0.35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 x14ac:dyDescent="0.35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 x14ac:dyDescent="0.35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 x14ac:dyDescent="0.35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 x14ac:dyDescent="0.35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 x14ac:dyDescent="0.35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 x14ac:dyDescent="0.35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 x14ac:dyDescent="0.35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 x14ac:dyDescent="0.35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 x14ac:dyDescent="0.35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 x14ac:dyDescent="0.35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 x14ac:dyDescent="0.35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 x14ac:dyDescent="0.35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 x14ac:dyDescent="0.35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 x14ac:dyDescent="0.35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 x14ac:dyDescent="0.35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 x14ac:dyDescent="0.35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 x14ac:dyDescent="0.35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 x14ac:dyDescent="0.35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 x14ac:dyDescent="0.35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 x14ac:dyDescent="0.35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 x14ac:dyDescent="0.35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 x14ac:dyDescent="0.35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 x14ac:dyDescent="0.35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 x14ac:dyDescent="0.35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 x14ac:dyDescent="0.35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 x14ac:dyDescent="0.35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 x14ac:dyDescent="0.35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 x14ac:dyDescent="0.35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 x14ac:dyDescent="0.35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 x14ac:dyDescent="0.35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 x14ac:dyDescent="0.35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 x14ac:dyDescent="0.35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 x14ac:dyDescent="0.35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 x14ac:dyDescent="0.35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 x14ac:dyDescent="0.35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 x14ac:dyDescent="0.35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 x14ac:dyDescent="0.35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 x14ac:dyDescent="0.35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 x14ac:dyDescent="0.35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 x14ac:dyDescent="0.35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 x14ac:dyDescent="0.35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 x14ac:dyDescent="0.35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 x14ac:dyDescent="0.35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 x14ac:dyDescent="0.35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 x14ac:dyDescent="0.35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 x14ac:dyDescent="0.35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 x14ac:dyDescent="0.35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 x14ac:dyDescent="0.35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 x14ac:dyDescent="0.35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 x14ac:dyDescent="0.35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 x14ac:dyDescent="0.35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 x14ac:dyDescent="0.35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 x14ac:dyDescent="0.35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 x14ac:dyDescent="0.35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 x14ac:dyDescent="0.35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 x14ac:dyDescent="0.35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 x14ac:dyDescent="0.35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 x14ac:dyDescent="0.35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 x14ac:dyDescent="0.35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 x14ac:dyDescent="0.35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 x14ac:dyDescent="0.35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 x14ac:dyDescent="0.35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 x14ac:dyDescent="0.35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 x14ac:dyDescent="0.35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 x14ac:dyDescent="0.35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 x14ac:dyDescent="0.35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 x14ac:dyDescent="0.35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 x14ac:dyDescent="0.35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 x14ac:dyDescent="0.35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 x14ac:dyDescent="0.35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 x14ac:dyDescent="0.35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 x14ac:dyDescent="0.35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 x14ac:dyDescent="0.35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 x14ac:dyDescent="0.35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 x14ac:dyDescent="0.35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 x14ac:dyDescent="0.35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 x14ac:dyDescent="0.35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 x14ac:dyDescent="0.35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 x14ac:dyDescent="0.35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 x14ac:dyDescent="0.35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 x14ac:dyDescent="0.35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 x14ac:dyDescent="0.35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 x14ac:dyDescent="0.35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 x14ac:dyDescent="0.35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 x14ac:dyDescent="0.35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 x14ac:dyDescent="0.35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 x14ac:dyDescent="0.35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 x14ac:dyDescent="0.35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 x14ac:dyDescent="0.35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 x14ac:dyDescent="0.35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 x14ac:dyDescent="0.35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 x14ac:dyDescent="0.35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 x14ac:dyDescent="0.35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 x14ac:dyDescent="0.35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 x14ac:dyDescent="0.35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 x14ac:dyDescent="0.35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 x14ac:dyDescent="0.35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 x14ac:dyDescent="0.35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 x14ac:dyDescent="0.35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 x14ac:dyDescent="0.35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 x14ac:dyDescent="0.35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 x14ac:dyDescent="0.35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 x14ac:dyDescent="0.35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 x14ac:dyDescent="0.35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 x14ac:dyDescent="0.35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 x14ac:dyDescent="0.35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 x14ac:dyDescent="0.35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 x14ac:dyDescent="0.35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 x14ac:dyDescent="0.35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 x14ac:dyDescent="0.35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 x14ac:dyDescent="0.35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 x14ac:dyDescent="0.35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 x14ac:dyDescent="0.35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 x14ac:dyDescent="0.35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 x14ac:dyDescent="0.35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 x14ac:dyDescent="0.35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 x14ac:dyDescent="0.35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 x14ac:dyDescent="0.35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 x14ac:dyDescent="0.35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 x14ac:dyDescent="0.35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 x14ac:dyDescent="0.35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 x14ac:dyDescent="0.35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 x14ac:dyDescent="0.35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 x14ac:dyDescent="0.35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 x14ac:dyDescent="0.35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 x14ac:dyDescent="0.35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 x14ac:dyDescent="0.35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 x14ac:dyDescent="0.35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 x14ac:dyDescent="0.35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 x14ac:dyDescent="0.35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 x14ac:dyDescent="0.35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 x14ac:dyDescent="0.35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 x14ac:dyDescent="0.35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 x14ac:dyDescent="0.35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 x14ac:dyDescent="0.35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 x14ac:dyDescent="0.35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 x14ac:dyDescent="0.35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 x14ac:dyDescent="0.35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 x14ac:dyDescent="0.35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 x14ac:dyDescent="0.35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 x14ac:dyDescent="0.35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 x14ac:dyDescent="0.35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 x14ac:dyDescent="0.35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 x14ac:dyDescent="0.35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 x14ac:dyDescent="0.35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 x14ac:dyDescent="0.35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 x14ac:dyDescent="0.35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 x14ac:dyDescent="0.35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 x14ac:dyDescent="0.35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 x14ac:dyDescent="0.35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 x14ac:dyDescent="0.35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 x14ac:dyDescent="0.35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 x14ac:dyDescent="0.35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 x14ac:dyDescent="0.35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 x14ac:dyDescent="0.35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 x14ac:dyDescent="0.35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 x14ac:dyDescent="0.35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 x14ac:dyDescent="0.35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 x14ac:dyDescent="0.35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 x14ac:dyDescent="0.35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 x14ac:dyDescent="0.35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 x14ac:dyDescent="0.35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 x14ac:dyDescent="0.35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 x14ac:dyDescent="0.35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 x14ac:dyDescent="0.35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 x14ac:dyDescent="0.35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 x14ac:dyDescent="0.35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 x14ac:dyDescent="0.35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 x14ac:dyDescent="0.35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 x14ac:dyDescent="0.35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 x14ac:dyDescent="0.35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 x14ac:dyDescent="0.35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 x14ac:dyDescent="0.35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 x14ac:dyDescent="0.35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 x14ac:dyDescent="0.35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 x14ac:dyDescent="0.35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 x14ac:dyDescent="0.35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 x14ac:dyDescent="0.35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 x14ac:dyDescent="0.35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 x14ac:dyDescent="0.35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 x14ac:dyDescent="0.35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 x14ac:dyDescent="0.35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 x14ac:dyDescent="0.35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 x14ac:dyDescent="0.35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 x14ac:dyDescent="0.35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 x14ac:dyDescent="0.35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 x14ac:dyDescent="0.35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 x14ac:dyDescent="0.35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 x14ac:dyDescent="0.35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 x14ac:dyDescent="0.35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 x14ac:dyDescent="0.35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 x14ac:dyDescent="0.35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 x14ac:dyDescent="0.35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 x14ac:dyDescent="0.35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 x14ac:dyDescent="0.35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 x14ac:dyDescent="0.35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 x14ac:dyDescent="0.35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 x14ac:dyDescent="0.35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 x14ac:dyDescent="0.35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 x14ac:dyDescent="0.35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 x14ac:dyDescent="0.35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 x14ac:dyDescent="0.35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 x14ac:dyDescent="0.35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 x14ac:dyDescent="0.35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 x14ac:dyDescent="0.35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 x14ac:dyDescent="0.35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 x14ac:dyDescent="0.35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 x14ac:dyDescent="0.35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 x14ac:dyDescent="0.35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 x14ac:dyDescent="0.35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 x14ac:dyDescent="0.35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 x14ac:dyDescent="0.35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 x14ac:dyDescent="0.35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 x14ac:dyDescent="0.35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 x14ac:dyDescent="0.35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 x14ac:dyDescent="0.35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 x14ac:dyDescent="0.35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 x14ac:dyDescent="0.35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 x14ac:dyDescent="0.35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 x14ac:dyDescent="0.35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 x14ac:dyDescent="0.35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 x14ac:dyDescent="0.35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 x14ac:dyDescent="0.35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 x14ac:dyDescent="0.35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 x14ac:dyDescent="0.35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 x14ac:dyDescent="0.35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 x14ac:dyDescent="0.35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 x14ac:dyDescent="0.35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 x14ac:dyDescent="0.35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 x14ac:dyDescent="0.35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 x14ac:dyDescent="0.35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 x14ac:dyDescent="0.35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 x14ac:dyDescent="0.35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 x14ac:dyDescent="0.35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 x14ac:dyDescent="0.35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 x14ac:dyDescent="0.35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 x14ac:dyDescent="0.35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 x14ac:dyDescent="0.35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 x14ac:dyDescent="0.35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 x14ac:dyDescent="0.35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 x14ac:dyDescent="0.35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 x14ac:dyDescent="0.35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 x14ac:dyDescent="0.35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 x14ac:dyDescent="0.35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 x14ac:dyDescent="0.35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 x14ac:dyDescent="0.35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 x14ac:dyDescent="0.35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 x14ac:dyDescent="0.35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 x14ac:dyDescent="0.35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 x14ac:dyDescent="0.35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 x14ac:dyDescent="0.35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 x14ac:dyDescent="0.35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 x14ac:dyDescent="0.35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 x14ac:dyDescent="0.35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 x14ac:dyDescent="0.35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 x14ac:dyDescent="0.35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 x14ac:dyDescent="0.35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 x14ac:dyDescent="0.35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 x14ac:dyDescent="0.35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 x14ac:dyDescent="0.35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 x14ac:dyDescent="0.35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 x14ac:dyDescent="0.35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 x14ac:dyDescent="0.35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 x14ac:dyDescent="0.35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 x14ac:dyDescent="0.35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 x14ac:dyDescent="0.35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 x14ac:dyDescent="0.35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 x14ac:dyDescent="0.35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 x14ac:dyDescent="0.35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 x14ac:dyDescent="0.35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 x14ac:dyDescent="0.35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 x14ac:dyDescent="0.35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 x14ac:dyDescent="0.35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 x14ac:dyDescent="0.35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 x14ac:dyDescent="0.35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 x14ac:dyDescent="0.35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 x14ac:dyDescent="0.35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 x14ac:dyDescent="0.35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 x14ac:dyDescent="0.35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 x14ac:dyDescent="0.35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 x14ac:dyDescent="0.35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 x14ac:dyDescent="0.35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 x14ac:dyDescent="0.35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 x14ac:dyDescent="0.35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 x14ac:dyDescent="0.35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 x14ac:dyDescent="0.35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 x14ac:dyDescent="0.35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 x14ac:dyDescent="0.35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 x14ac:dyDescent="0.35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 x14ac:dyDescent="0.35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 x14ac:dyDescent="0.35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 x14ac:dyDescent="0.35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 x14ac:dyDescent="0.35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 x14ac:dyDescent="0.35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 x14ac:dyDescent="0.35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 x14ac:dyDescent="0.35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 x14ac:dyDescent="0.35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 x14ac:dyDescent="0.35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 x14ac:dyDescent="0.35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 x14ac:dyDescent="0.35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 x14ac:dyDescent="0.35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 x14ac:dyDescent="0.35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 x14ac:dyDescent="0.35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 x14ac:dyDescent="0.35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 x14ac:dyDescent="0.35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 x14ac:dyDescent="0.35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 x14ac:dyDescent="0.35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 x14ac:dyDescent="0.35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 x14ac:dyDescent="0.35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 x14ac:dyDescent="0.35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 x14ac:dyDescent="0.35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 x14ac:dyDescent="0.35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 x14ac:dyDescent="0.35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 x14ac:dyDescent="0.35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 x14ac:dyDescent="0.35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 x14ac:dyDescent="0.35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 x14ac:dyDescent="0.35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 x14ac:dyDescent="0.35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 x14ac:dyDescent="0.35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 x14ac:dyDescent="0.35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 x14ac:dyDescent="0.35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 x14ac:dyDescent="0.35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 x14ac:dyDescent="0.35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 x14ac:dyDescent="0.35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 x14ac:dyDescent="0.35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 x14ac:dyDescent="0.35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 x14ac:dyDescent="0.35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 x14ac:dyDescent="0.35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 x14ac:dyDescent="0.35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 x14ac:dyDescent="0.35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 x14ac:dyDescent="0.35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 x14ac:dyDescent="0.35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 x14ac:dyDescent="0.35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 x14ac:dyDescent="0.35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 x14ac:dyDescent="0.35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 x14ac:dyDescent="0.35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 x14ac:dyDescent="0.35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 x14ac:dyDescent="0.35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 x14ac:dyDescent="0.35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 x14ac:dyDescent="0.35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 x14ac:dyDescent="0.35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 x14ac:dyDescent="0.35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 x14ac:dyDescent="0.35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 x14ac:dyDescent="0.35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 x14ac:dyDescent="0.35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 x14ac:dyDescent="0.35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 x14ac:dyDescent="0.35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 x14ac:dyDescent="0.35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 x14ac:dyDescent="0.35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 x14ac:dyDescent="0.35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 x14ac:dyDescent="0.35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 x14ac:dyDescent="0.35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 x14ac:dyDescent="0.35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 x14ac:dyDescent="0.35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 x14ac:dyDescent="0.35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 x14ac:dyDescent="0.35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 x14ac:dyDescent="0.35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 x14ac:dyDescent="0.35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 x14ac:dyDescent="0.35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 x14ac:dyDescent="0.35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 x14ac:dyDescent="0.35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 x14ac:dyDescent="0.35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 x14ac:dyDescent="0.35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 x14ac:dyDescent="0.35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 x14ac:dyDescent="0.35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 x14ac:dyDescent="0.35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 x14ac:dyDescent="0.35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 x14ac:dyDescent="0.35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 x14ac:dyDescent="0.35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 x14ac:dyDescent="0.35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 x14ac:dyDescent="0.35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 x14ac:dyDescent="0.35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 x14ac:dyDescent="0.35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 x14ac:dyDescent="0.35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 x14ac:dyDescent="0.35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 x14ac:dyDescent="0.35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 x14ac:dyDescent="0.35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 x14ac:dyDescent="0.35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 x14ac:dyDescent="0.35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 x14ac:dyDescent="0.35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 x14ac:dyDescent="0.35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 x14ac:dyDescent="0.35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 x14ac:dyDescent="0.35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 x14ac:dyDescent="0.35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 x14ac:dyDescent="0.35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 x14ac:dyDescent="0.35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 x14ac:dyDescent="0.35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 x14ac:dyDescent="0.35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 x14ac:dyDescent="0.35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 x14ac:dyDescent="0.35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 x14ac:dyDescent="0.35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 x14ac:dyDescent="0.35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 x14ac:dyDescent="0.35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 x14ac:dyDescent="0.35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 x14ac:dyDescent="0.35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 x14ac:dyDescent="0.35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 x14ac:dyDescent="0.35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 x14ac:dyDescent="0.35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 x14ac:dyDescent="0.35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 x14ac:dyDescent="0.35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 x14ac:dyDescent="0.35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 x14ac:dyDescent="0.35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 x14ac:dyDescent="0.35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 x14ac:dyDescent="0.35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 x14ac:dyDescent="0.35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 x14ac:dyDescent="0.35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 x14ac:dyDescent="0.35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 x14ac:dyDescent="0.35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 x14ac:dyDescent="0.35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 x14ac:dyDescent="0.35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 x14ac:dyDescent="0.35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 x14ac:dyDescent="0.35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 x14ac:dyDescent="0.35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 x14ac:dyDescent="0.35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 x14ac:dyDescent="0.35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 x14ac:dyDescent="0.35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 x14ac:dyDescent="0.35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 x14ac:dyDescent="0.35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 x14ac:dyDescent="0.35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 x14ac:dyDescent="0.35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 x14ac:dyDescent="0.35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 x14ac:dyDescent="0.35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 x14ac:dyDescent="0.35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 x14ac:dyDescent="0.35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 x14ac:dyDescent="0.35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 x14ac:dyDescent="0.35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 x14ac:dyDescent="0.35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 x14ac:dyDescent="0.35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 x14ac:dyDescent="0.35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 x14ac:dyDescent="0.35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 x14ac:dyDescent="0.35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 x14ac:dyDescent="0.35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 x14ac:dyDescent="0.35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 x14ac:dyDescent="0.35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 x14ac:dyDescent="0.35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 x14ac:dyDescent="0.35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 x14ac:dyDescent="0.35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 x14ac:dyDescent="0.35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 x14ac:dyDescent="0.35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 x14ac:dyDescent="0.35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 x14ac:dyDescent="0.35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 x14ac:dyDescent="0.35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 x14ac:dyDescent="0.35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 x14ac:dyDescent="0.35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 x14ac:dyDescent="0.35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 x14ac:dyDescent="0.35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 x14ac:dyDescent="0.35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 x14ac:dyDescent="0.35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 x14ac:dyDescent="0.35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 x14ac:dyDescent="0.35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 x14ac:dyDescent="0.35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 x14ac:dyDescent="0.35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 x14ac:dyDescent="0.35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 x14ac:dyDescent="0.35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 x14ac:dyDescent="0.35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 x14ac:dyDescent="0.35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 x14ac:dyDescent="0.35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 x14ac:dyDescent="0.35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 x14ac:dyDescent="0.35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 x14ac:dyDescent="0.35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 x14ac:dyDescent="0.35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 x14ac:dyDescent="0.35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 x14ac:dyDescent="0.35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 x14ac:dyDescent="0.35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 x14ac:dyDescent="0.35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 x14ac:dyDescent="0.35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 x14ac:dyDescent="0.35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 x14ac:dyDescent="0.35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 x14ac:dyDescent="0.35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 x14ac:dyDescent="0.35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 x14ac:dyDescent="0.35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 x14ac:dyDescent="0.35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 x14ac:dyDescent="0.35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 x14ac:dyDescent="0.35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 x14ac:dyDescent="0.35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 x14ac:dyDescent="0.35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 x14ac:dyDescent="0.35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 x14ac:dyDescent="0.35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 x14ac:dyDescent="0.35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 x14ac:dyDescent="0.35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 x14ac:dyDescent="0.35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 x14ac:dyDescent="0.35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 x14ac:dyDescent="0.35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 x14ac:dyDescent="0.35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 x14ac:dyDescent="0.35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 x14ac:dyDescent="0.35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 x14ac:dyDescent="0.35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 x14ac:dyDescent="0.35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 x14ac:dyDescent="0.35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 x14ac:dyDescent="0.35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 x14ac:dyDescent="0.35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 x14ac:dyDescent="0.35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 x14ac:dyDescent="0.35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 x14ac:dyDescent="0.35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 x14ac:dyDescent="0.35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 x14ac:dyDescent="0.35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 x14ac:dyDescent="0.35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 x14ac:dyDescent="0.35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 x14ac:dyDescent="0.35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 x14ac:dyDescent="0.35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 x14ac:dyDescent="0.35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 x14ac:dyDescent="0.35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 x14ac:dyDescent="0.35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 x14ac:dyDescent="0.35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 x14ac:dyDescent="0.35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 x14ac:dyDescent="0.35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 x14ac:dyDescent="0.35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 x14ac:dyDescent="0.35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 x14ac:dyDescent="0.35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 x14ac:dyDescent="0.35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 x14ac:dyDescent="0.35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 x14ac:dyDescent="0.35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 x14ac:dyDescent="0.35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 x14ac:dyDescent="0.35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 x14ac:dyDescent="0.35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 x14ac:dyDescent="0.35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 x14ac:dyDescent="0.35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 x14ac:dyDescent="0.35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 x14ac:dyDescent="0.35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 x14ac:dyDescent="0.35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 x14ac:dyDescent="0.35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 x14ac:dyDescent="0.35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 x14ac:dyDescent="0.35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 x14ac:dyDescent="0.35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 x14ac:dyDescent="0.35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 x14ac:dyDescent="0.35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 x14ac:dyDescent="0.35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 x14ac:dyDescent="0.35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 x14ac:dyDescent="0.35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 x14ac:dyDescent="0.35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 x14ac:dyDescent="0.35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 x14ac:dyDescent="0.35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 x14ac:dyDescent="0.35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 x14ac:dyDescent="0.35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 x14ac:dyDescent="0.35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 x14ac:dyDescent="0.35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 x14ac:dyDescent="0.35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 x14ac:dyDescent="0.35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 x14ac:dyDescent="0.35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 x14ac:dyDescent="0.35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 x14ac:dyDescent="0.35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 x14ac:dyDescent="0.35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 x14ac:dyDescent="0.35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 x14ac:dyDescent="0.35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 x14ac:dyDescent="0.35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 x14ac:dyDescent="0.35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 x14ac:dyDescent="0.35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 x14ac:dyDescent="0.35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 x14ac:dyDescent="0.35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 x14ac:dyDescent="0.35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 x14ac:dyDescent="0.35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 x14ac:dyDescent="0.35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 x14ac:dyDescent="0.35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 x14ac:dyDescent="0.35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 x14ac:dyDescent="0.35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 x14ac:dyDescent="0.35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 x14ac:dyDescent="0.35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 x14ac:dyDescent="0.35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 x14ac:dyDescent="0.35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 x14ac:dyDescent="0.35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 x14ac:dyDescent="0.35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 x14ac:dyDescent="0.35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 x14ac:dyDescent="0.35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 x14ac:dyDescent="0.35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 x14ac:dyDescent="0.35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 x14ac:dyDescent="0.35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 x14ac:dyDescent="0.35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 x14ac:dyDescent="0.35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 x14ac:dyDescent="0.35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 x14ac:dyDescent="0.35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 x14ac:dyDescent="0.35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 x14ac:dyDescent="0.35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 x14ac:dyDescent="0.35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 x14ac:dyDescent="0.35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 x14ac:dyDescent="0.35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 x14ac:dyDescent="0.35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 x14ac:dyDescent="0.35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 x14ac:dyDescent="0.35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 x14ac:dyDescent="0.35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 x14ac:dyDescent="0.35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 x14ac:dyDescent="0.35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 x14ac:dyDescent="0.35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 x14ac:dyDescent="0.35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 x14ac:dyDescent="0.35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 x14ac:dyDescent="0.35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 x14ac:dyDescent="0.35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 x14ac:dyDescent="0.35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 x14ac:dyDescent="0.35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 x14ac:dyDescent="0.35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 x14ac:dyDescent="0.35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 x14ac:dyDescent="0.35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 x14ac:dyDescent="0.35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 x14ac:dyDescent="0.35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 x14ac:dyDescent="0.35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 x14ac:dyDescent="0.35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 x14ac:dyDescent="0.35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 x14ac:dyDescent="0.35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 x14ac:dyDescent="0.35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 x14ac:dyDescent="0.35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 x14ac:dyDescent="0.35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 x14ac:dyDescent="0.35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 x14ac:dyDescent="0.35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 x14ac:dyDescent="0.35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 x14ac:dyDescent="0.35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 x14ac:dyDescent="0.35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 x14ac:dyDescent="0.35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 x14ac:dyDescent="0.35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 x14ac:dyDescent="0.35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 x14ac:dyDescent="0.35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 x14ac:dyDescent="0.35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 x14ac:dyDescent="0.35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 x14ac:dyDescent="0.35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 x14ac:dyDescent="0.35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 x14ac:dyDescent="0.35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 x14ac:dyDescent="0.35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 x14ac:dyDescent="0.35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 x14ac:dyDescent="0.35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 x14ac:dyDescent="0.35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 x14ac:dyDescent="0.35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 x14ac:dyDescent="0.35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 x14ac:dyDescent="0.35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 x14ac:dyDescent="0.35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 x14ac:dyDescent="0.35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 x14ac:dyDescent="0.35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 x14ac:dyDescent="0.35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 x14ac:dyDescent="0.35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 x14ac:dyDescent="0.35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 x14ac:dyDescent="0.35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 x14ac:dyDescent="0.35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 x14ac:dyDescent="0.35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 x14ac:dyDescent="0.35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 x14ac:dyDescent="0.35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 x14ac:dyDescent="0.35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 x14ac:dyDescent="0.35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 x14ac:dyDescent="0.35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 x14ac:dyDescent="0.35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 x14ac:dyDescent="0.35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 x14ac:dyDescent="0.35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 x14ac:dyDescent="0.35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 x14ac:dyDescent="0.35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 x14ac:dyDescent="0.35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 x14ac:dyDescent="0.35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 x14ac:dyDescent="0.35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 x14ac:dyDescent="0.35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 x14ac:dyDescent="0.35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 x14ac:dyDescent="0.35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 x14ac:dyDescent="0.35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 x14ac:dyDescent="0.35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 x14ac:dyDescent="0.35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 x14ac:dyDescent="0.35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 x14ac:dyDescent="0.35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 x14ac:dyDescent="0.35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 x14ac:dyDescent="0.35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 x14ac:dyDescent="0.35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 x14ac:dyDescent="0.35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 x14ac:dyDescent="0.35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 x14ac:dyDescent="0.35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 x14ac:dyDescent="0.35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 x14ac:dyDescent="0.35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 x14ac:dyDescent="0.35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 x14ac:dyDescent="0.35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 x14ac:dyDescent="0.35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 x14ac:dyDescent="0.35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 x14ac:dyDescent="0.35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 x14ac:dyDescent="0.35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 x14ac:dyDescent="0.35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 x14ac:dyDescent="0.35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 x14ac:dyDescent="0.35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 x14ac:dyDescent="0.35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 x14ac:dyDescent="0.35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 x14ac:dyDescent="0.35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 x14ac:dyDescent="0.35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 x14ac:dyDescent="0.35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 x14ac:dyDescent="0.35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 x14ac:dyDescent="0.35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 x14ac:dyDescent="0.35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 x14ac:dyDescent="0.35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 x14ac:dyDescent="0.35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 x14ac:dyDescent="0.35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 x14ac:dyDescent="0.35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 x14ac:dyDescent="0.35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 x14ac:dyDescent="0.35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 x14ac:dyDescent="0.35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 x14ac:dyDescent="0.35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 x14ac:dyDescent="0.35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 x14ac:dyDescent="0.35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 x14ac:dyDescent="0.35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 x14ac:dyDescent="0.35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 x14ac:dyDescent="0.35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 x14ac:dyDescent="0.35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 x14ac:dyDescent="0.35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 x14ac:dyDescent="0.35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 x14ac:dyDescent="0.35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 x14ac:dyDescent="0.35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 x14ac:dyDescent="0.35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 x14ac:dyDescent="0.35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 x14ac:dyDescent="0.35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 x14ac:dyDescent="0.35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 x14ac:dyDescent="0.35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 x14ac:dyDescent="0.35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 x14ac:dyDescent="0.35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 x14ac:dyDescent="0.35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 x14ac:dyDescent="0.35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 x14ac:dyDescent="0.35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 x14ac:dyDescent="0.35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 x14ac:dyDescent="0.35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 x14ac:dyDescent="0.35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 x14ac:dyDescent="0.35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 x14ac:dyDescent="0.35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 x14ac:dyDescent="0.35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 x14ac:dyDescent="0.35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 x14ac:dyDescent="0.35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 x14ac:dyDescent="0.35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 x14ac:dyDescent="0.35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 x14ac:dyDescent="0.35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 x14ac:dyDescent="0.35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 x14ac:dyDescent="0.35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 x14ac:dyDescent="0.35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 x14ac:dyDescent="0.35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 x14ac:dyDescent="0.35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 x14ac:dyDescent="0.35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 x14ac:dyDescent="0.35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 x14ac:dyDescent="0.35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 x14ac:dyDescent="0.35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 x14ac:dyDescent="0.35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 x14ac:dyDescent="0.35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 x14ac:dyDescent="0.35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 x14ac:dyDescent="0.35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 x14ac:dyDescent="0.35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 x14ac:dyDescent="0.35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 x14ac:dyDescent="0.35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 x14ac:dyDescent="0.35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 x14ac:dyDescent="0.35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 x14ac:dyDescent="0.35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 x14ac:dyDescent="0.35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 x14ac:dyDescent="0.35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 x14ac:dyDescent="0.35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 x14ac:dyDescent="0.35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 x14ac:dyDescent="0.35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 x14ac:dyDescent="0.35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 x14ac:dyDescent="0.35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 x14ac:dyDescent="0.35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 x14ac:dyDescent="0.35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 x14ac:dyDescent="0.35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 x14ac:dyDescent="0.35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 x14ac:dyDescent="0.35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 x14ac:dyDescent="0.35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 x14ac:dyDescent="0.35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 x14ac:dyDescent="0.35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 x14ac:dyDescent="0.35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 x14ac:dyDescent="0.35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 x14ac:dyDescent="0.35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 x14ac:dyDescent="0.35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 x14ac:dyDescent="0.35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 x14ac:dyDescent="0.35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 x14ac:dyDescent="0.35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 x14ac:dyDescent="0.35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 x14ac:dyDescent="0.35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 x14ac:dyDescent="0.35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 x14ac:dyDescent="0.35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 x14ac:dyDescent="0.35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 x14ac:dyDescent="0.35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 x14ac:dyDescent="0.35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 x14ac:dyDescent="0.35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 x14ac:dyDescent="0.35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 x14ac:dyDescent="0.35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 x14ac:dyDescent="0.35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 x14ac:dyDescent="0.35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 x14ac:dyDescent="0.35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 x14ac:dyDescent="0.35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 x14ac:dyDescent="0.35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 x14ac:dyDescent="0.35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 x14ac:dyDescent="0.35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 x14ac:dyDescent="0.35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 x14ac:dyDescent="0.35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 x14ac:dyDescent="0.35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 x14ac:dyDescent="0.35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 x14ac:dyDescent="0.35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 x14ac:dyDescent="0.35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 x14ac:dyDescent="0.35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 x14ac:dyDescent="0.35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 x14ac:dyDescent="0.35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 x14ac:dyDescent="0.35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 x14ac:dyDescent="0.35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 x14ac:dyDescent="0.35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 x14ac:dyDescent="0.35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 x14ac:dyDescent="0.35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 x14ac:dyDescent="0.35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 x14ac:dyDescent="0.35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 x14ac:dyDescent="0.35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 x14ac:dyDescent="0.35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 x14ac:dyDescent="0.35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 x14ac:dyDescent="0.35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 x14ac:dyDescent="0.35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 x14ac:dyDescent="0.35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 x14ac:dyDescent="0.35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 x14ac:dyDescent="0.35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 x14ac:dyDescent="0.35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 x14ac:dyDescent="0.35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 x14ac:dyDescent="0.35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 x14ac:dyDescent="0.35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 x14ac:dyDescent="0.35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 x14ac:dyDescent="0.35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 x14ac:dyDescent="0.35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 x14ac:dyDescent="0.35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 x14ac:dyDescent="0.35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 x14ac:dyDescent="0.35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 x14ac:dyDescent="0.35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 x14ac:dyDescent="0.35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 x14ac:dyDescent="0.35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 x14ac:dyDescent="0.35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 x14ac:dyDescent="0.35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 x14ac:dyDescent="0.35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 x14ac:dyDescent="0.35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 x14ac:dyDescent="0.35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 x14ac:dyDescent="0.35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 x14ac:dyDescent="0.35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 x14ac:dyDescent="0.35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 x14ac:dyDescent="0.35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 x14ac:dyDescent="0.35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 x14ac:dyDescent="0.35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 x14ac:dyDescent="0.35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 x14ac:dyDescent="0.35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 x14ac:dyDescent="0.35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 x14ac:dyDescent="0.35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 x14ac:dyDescent="0.35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 x14ac:dyDescent="0.35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 x14ac:dyDescent="0.35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 x14ac:dyDescent="0.35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 x14ac:dyDescent="0.35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 x14ac:dyDescent="0.35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 x14ac:dyDescent="0.35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 x14ac:dyDescent="0.35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 x14ac:dyDescent="0.35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 x14ac:dyDescent="0.35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 x14ac:dyDescent="0.35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 x14ac:dyDescent="0.35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 x14ac:dyDescent="0.35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 x14ac:dyDescent="0.35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 x14ac:dyDescent="0.35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 x14ac:dyDescent="0.35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 x14ac:dyDescent="0.35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 x14ac:dyDescent="0.35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 x14ac:dyDescent="0.35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 x14ac:dyDescent="0.35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 x14ac:dyDescent="0.35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 x14ac:dyDescent="0.35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 x14ac:dyDescent="0.35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 x14ac:dyDescent="0.35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 x14ac:dyDescent="0.35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 x14ac:dyDescent="0.35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 x14ac:dyDescent="0.35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 x14ac:dyDescent="0.35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 x14ac:dyDescent="0.35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 x14ac:dyDescent="0.35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 x14ac:dyDescent="0.35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 x14ac:dyDescent="0.35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 x14ac:dyDescent="0.35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 x14ac:dyDescent="0.35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 x14ac:dyDescent="0.35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 x14ac:dyDescent="0.35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 x14ac:dyDescent="0.35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 x14ac:dyDescent="0.35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 x14ac:dyDescent="0.35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 x14ac:dyDescent="0.35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 x14ac:dyDescent="0.35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 x14ac:dyDescent="0.35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 x14ac:dyDescent="0.35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 x14ac:dyDescent="0.35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 x14ac:dyDescent="0.35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 x14ac:dyDescent="0.35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 x14ac:dyDescent="0.35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 x14ac:dyDescent="0.35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 x14ac:dyDescent="0.35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 x14ac:dyDescent="0.35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 x14ac:dyDescent="0.35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 x14ac:dyDescent="0.35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 x14ac:dyDescent="0.35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 x14ac:dyDescent="0.35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 x14ac:dyDescent="0.35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 x14ac:dyDescent="0.35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 x14ac:dyDescent="0.35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 x14ac:dyDescent="0.35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 x14ac:dyDescent="0.35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 x14ac:dyDescent="0.35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 x14ac:dyDescent="0.35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 x14ac:dyDescent="0.35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 x14ac:dyDescent="0.35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 x14ac:dyDescent="0.35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 x14ac:dyDescent="0.35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 x14ac:dyDescent="0.35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 x14ac:dyDescent="0.35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 x14ac:dyDescent="0.35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 x14ac:dyDescent="0.35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 x14ac:dyDescent="0.35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 x14ac:dyDescent="0.35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 x14ac:dyDescent="0.35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 x14ac:dyDescent="0.35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 x14ac:dyDescent="0.35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 x14ac:dyDescent="0.35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 x14ac:dyDescent="0.35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 x14ac:dyDescent="0.35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 x14ac:dyDescent="0.35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 x14ac:dyDescent="0.35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 x14ac:dyDescent="0.35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 x14ac:dyDescent="0.35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 x14ac:dyDescent="0.35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 x14ac:dyDescent="0.35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 x14ac:dyDescent="0.35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 x14ac:dyDescent="0.35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 x14ac:dyDescent="0.35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 x14ac:dyDescent="0.35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 x14ac:dyDescent="0.35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 x14ac:dyDescent="0.35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 x14ac:dyDescent="0.35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 x14ac:dyDescent="0.35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 x14ac:dyDescent="0.35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 x14ac:dyDescent="0.35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 x14ac:dyDescent="0.35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 x14ac:dyDescent="0.35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 x14ac:dyDescent="0.35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 x14ac:dyDescent="0.35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 x14ac:dyDescent="0.35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 x14ac:dyDescent="0.35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 x14ac:dyDescent="0.35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 x14ac:dyDescent="0.35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 x14ac:dyDescent="0.35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 x14ac:dyDescent="0.35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 x14ac:dyDescent="0.35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 x14ac:dyDescent="0.35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 x14ac:dyDescent="0.35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 x14ac:dyDescent="0.35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 x14ac:dyDescent="0.35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 x14ac:dyDescent="0.35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 x14ac:dyDescent="0.35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 x14ac:dyDescent="0.35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 x14ac:dyDescent="0.35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 x14ac:dyDescent="0.35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 x14ac:dyDescent="0.35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 x14ac:dyDescent="0.35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 x14ac:dyDescent="0.35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 x14ac:dyDescent="0.35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 x14ac:dyDescent="0.35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 x14ac:dyDescent="0.35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 x14ac:dyDescent="0.35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 x14ac:dyDescent="0.35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 x14ac:dyDescent="0.35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 x14ac:dyDescent="0.35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 x14ac:dyDescent="0.35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 x14ac:dyDescent="0.35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 x14ac:dyDescent="0.35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 x14ac:dyDescent="0.35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 x14ac:dyDescent="0.35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 x14ac:dyDescent="0.35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 x14ac:dyDescent="0.35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 x14ac:dyDescent="0.35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 x14ac:dyDescent="0.35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 x14ac:dyDescent="0.35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 x14ac:dyDescent="0.35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 x14ac:dyDescent="0.35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 x14ac:dyDescent="0.35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 x14ac:dyDescent="0.35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 x14ac:dyDescent="0.35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 x14ac:dyDescent="0.35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 x14ac:dyDescent="0.35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 x14ac:dyDescent="0.35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 x14ac:dyDescent="0.35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 x14ac:dyDescent="0.35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 x14ac:dyDescent="0.35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 x14ac:dyDescent="0.35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 x14ac:dyDescent="0.35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 x14ac:dyDescent="0.35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 x14ac:dyDescent="0.35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 x14ac:dyDescent="0.35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 x14ac:dyDescent="0.35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 x14ac:dyDescent="0.35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 x14ac:dyDescent="0.35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 x14ac:dyDescent="0.35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 x14ac:dyDescent="0.35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 x14ac:dyDescent="0.35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 x14ac:dyDescent="0.35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 x14ac:dyDescent="0.35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 x14ac:dyDescent="0.35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 x14ac:dyDescent="0.35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 x14ac:dyDescent="0.35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 x14ac:dyDescent="0.35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 x14ac:dyDescent="0.35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 x14ac:dyDescent="0.35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 x14ac:dyDescent="0.35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 x14ac:dyDescent="0.35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 x14ac:dyDescent="0.35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 x14ac:dyDescent="0.35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 x14ac:dyDescent="0.35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 x14ac:dyDescent="0.35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 x14ac:dyDescent="0.35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 x14ac:dyDescent="0.35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 x14ac:dyDescent="0.35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 x14ac:dyDescent="0.35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 x14ac:dyDescent="0.35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 x14ac:dyDescent="0.35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 x14ac:dyDescent="0.35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 x14ac:dyDescent="0.35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 x14ac:dyDescent="0.35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 x14ac:dyDescent="0.35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 x14ac:dyDescent="0.35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 x14ac:dyDescent="0.35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 x14ac:dyDescent="0.35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 x14ac:dyDescent="0.35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 x14ac:dyDescent="0.35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 x14ac:dyDescent="0.35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 x14ac:dyDescent="0.35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 x14ac:dyDescent="0.35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 x14ac:dyDescent="0.35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 x14ac:dyDescent="0.35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 x14ac:dyDescent="0.35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 x14ac:dyDescent="0.35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 x14ac:dyDescent="0.35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 x14ac:dyDescent="0.35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 x14ac:dyDescent="0.35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 x14ac:dyDescent="0.35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 x14ac:dyDescent="0.35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 x14ac:dyDescent="0.35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 x14ac:dyDescent="0.35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 x14ac:dyDescent="0.35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 x14ac:dyDescent="0.35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 x14ac:dyDescent="0.35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 x14ac:dyDescent="0.35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 x14ac:dyDescent="0.35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 x14ac:dyDescent="0.35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 x14ac:dyDescent="0.35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 x14ac:dyDescent="0.35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 x14ac:dyDescent="0.35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 x14ac:dyDescent="0.35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 x14ac:dyDescent="0.35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 x14ac:dyDescent="0.35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 x14ac:dyDescent="0.35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 x14ac:dyDescent="0.35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 x14ac:dyDescent="0.35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 x14ac:dyDescent="0.35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 x14ac:dyDescent="0.35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 x14ac:dyDescent="0.35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 x14ac:dyDescent="0.35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 x14ac:dyDescent="0.35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 x14ac:dyDescent="0.35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 x14ac:dyDescent="0.35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 x14ac:dyDescent="0.35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 x14ac:dyDescent="0.35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 x14ac:dyDescent="0.35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 x14ac:dyDescent="0.35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 x14ac:dyDescent="0.35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 x14ac:dyDescent="0.35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 x14ac:dyDescent="0.35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 x14ac:dyDescent="0.35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 x14ac:dyDescent="0.35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 x14ac:dyDescent="0.35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 x14ac:dyDescent="0.35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 x14ac:dyDescent="0.35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 x14ac:dyDescent="0.35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 x14ac:dyDescent="0.35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 x14ac:dyDescent="0.35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 x14ac:dyDescent="0.35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 x14ac:dyDescent="0.35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 x14ac:dyDescent="0.35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 x14ac:dyDescent="0.35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 x14ac:dyDescent="0.35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 x14ac:dyDescent="0.35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 x14ac:dyDescent="0.35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 x14ac:dyDescent="0.35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 x14ac:dyDescent="0.35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 x14ac:dyDescent="0.35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 x14ac:dyDescent="0.35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 x14ac:dyDescent="0.35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 x14ac:dyDescent="0.35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 x14ac:dyDescent="0.35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 x14ac:dyDescent="0.35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 x14ac:dyDescent="0.35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 x14ac:dyDescent="0.35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 x14ac:dyDescent="0.35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 x14ac:dyDescent="0.35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 x14ac:dyDescent="0.35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 x14ac:dyDescent="0.35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 x14ac:dyDescent="0.35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 x14ac:dyDescent="0.35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 x14ac:dyDescent="0.35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 x14ac:dyDescent="0.35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 x14ac:dyDescent="0.35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 x14ac:dyDescent="0.35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 x14ac:dyDescent="0.35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 x14ac:dyDescent="0.35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 x14ac:dyDescent="0.35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 x14ac:dyDescent="0.35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 x14ac:dyDescent="0.35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 x14ac:dyDescent="0.35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 x14ac:dyDescent="0.35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 x14ac:dyDescent="0.35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 x14ac:dyDescent="0.35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 x14ac:dyDescent="0.35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 x14ac:dyDescent="0.35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 x14ac:dyDescent="0.35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 x14ac:dyDescent="0.35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 x14ac:dyDescent="0.35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 x14ac:dyDescent="0.35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 x14ac:dyDescent="0.35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 x14ac:dyDescent="0.35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 x14ac:dyDescent="0.35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 x14ac:dyDescent="0.35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 x14ac:dyDescent="0.35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 x14ac:dyDescent="0.35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 x14ac:dyDescent="0.35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 x14ac:dyDescent="0.35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 x14ac:dyDescent="0.35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 x14ac:dyDescent="0.35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 x14ac:dyDescent="0.35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 x14ac:dyDescent="0.35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 x14ac:dyDescent="0.35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 x14ac:dyDescent="0.35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 x14ac:dyDescent="0.35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 x14ac:dyDescent="0.35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 x14ac:dyDescent="0.35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 x14ac:dyDescent="0.35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 x14ac:dyDescent="0.35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 x14ac:dyDescent="0.35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 x14ac:dyDescent="0.35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 x14ac:dyDescent="0.35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 x14ac:dyDescent="0.35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 x14ac:dyDescent="0.35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 x14ac:dyDescent="0.35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 x14ac:dyDescent="0.35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 x14ac:dyDescent="0.35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 x14ac:dyDescent="0.35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 x14ac:dyDescent="0.35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 x14ac:dyDescent="0.35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 x14ac:dyDescent="0.35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 x14ac:dyDescent="0.35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 x14ac:dyDescent="0.35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 x14ac:dyDescent="0.35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 x14ac:dyDescent="0.35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 x14ac:dyDescent="0.35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 x14ac:dyDescent="0.35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 x14ac:dyDescent="0.35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 x14ac:dyDescent="0.35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 x14ac:dyDescent="0.35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 x14ac:dyDescent="0.35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 x14ac:dyDescent="0.35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 x14ac:dyDescent="0.35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 x14ac:dyDescent="0.35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 x14ac:dyDescent="0.35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 x14ac:dyDescent="0.35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 x14ac:dyDescent="0.35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 x14ac:dyDescent="0.35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 x14ac:dyDescent="0.35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 x14ac:dyDescent="0.35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 x14ac:dyDescent="0.35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 x14ac:dyDescent="0.35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 x14ac:dyDescent="0.35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 x14ac:dyDescent="0.35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 x14ac:dyDescent="0.35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 x14ac:dyDescent="0.35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 x14ac:dyDescent="0.35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 x14ac:dyDescent="0.35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 x14ac:dyDescent="0.35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 x14ac:dyDescent="0.35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 x14ac:dyDescent="0.35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 x14ac:dyDescent="0.35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 x14ac:dyDescent="0.35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 x14ac:dyDescent="0.35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 x14ac:dyDescent="0.35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 x14ac:dyDescent="0.35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 x14ac:dyDescent="0.35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 x14ac:dyDescent="0.35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 x14ac:dyDescent="0.35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 x14ac:dyDescent="0.35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 x14ac:dyDescent="0.35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 x14ac:dyDescent="0.35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 x14ac:dyDescent="0.35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 x14ac:dyDescent="0.35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 x14ac:dyDescent="0.35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 x14ac:dyDescent="0.35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 x14ac:dyDescent="0.35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 x14ac:dyDescent="0.35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 x14ac:dyDescent="0.35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 x14ac:dyDescent="0.35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 x14ac:dyDescent="0.35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 x14ac:dyDescent="0.35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 x14ac:dyDescent="0.35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 x14ac:dyDescent="0.35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 x14ac:dyDescent="0.35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 x14ac:dyDescent="0.35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 x14ac:dyDescent="0.35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 x14ac:dyDescent="0.35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 x14ac:dyDescent="0.35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 x14ac:dyDescent="0.35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 x14ac:dyDescent="0.35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 x14ac:dyDescent="0.35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 x14ac:dyDescent="0.35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 x14ac:dyDescent="0.35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 x14ac:dyDescent="0.35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 x14ac:dyDescent="0.35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 x14ac:dyDescent="0.35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 x14ac:dyDescent="0.35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 x14ac:dyDescent="0.35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 x14ac:dyDescent="0.35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 x14ac:dyDescent="0.35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 x14ac:dyDescent="0.35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 x14ac:dyDescent="0.35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 x14ac:dyDescent="0.35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 x14ac:dyDescent="0.35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 x14ac:dyDescent="0.35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 x14ac:dyDescent="0.35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 x14ac:dyDescent="0.35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 x14ac:dyDescent="0.35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 x14ac:dyDescent="0.35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 x14ac:dyDescent="0.35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 x14ac:dyDescent="0.35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 x14ac:dyDescent="0.35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 x14ac:dyDescent="0.35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 x14ac:dyDescent="0.35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 x14ac:dyDescent="0.35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 x14ac:dyDescent="0.35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 x14ac:dyDescent="0.35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 x14ac:dyDescent="0.35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 x14ac:dyDescent="0.35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 x14ac:dyDescent="0.35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 x14ac:dyDescent="0.35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 x14ac:dyDescent="0.35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 x14ac:dyDescent="0.35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 x14ac:dyDescent="0.35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 x14ac:dyDescent="0.35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 x14ac:dyDescent="0.35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 x14ac:dyDescent="0.35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 x14ac:dyDescent="0.35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 x14ac:dyDescent="0.35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 x14ac:dyDescent="0.35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 x14ac:dyDescent="0.35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 x14ac:dyDescent="0.35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 x14ac:dyDescent="0.35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 x14ac:dyDescent="0.35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 x14ac:dyDescent="0.35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 x14ac:dyDescent="0.35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 x14ac:dyDescent="0.35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 x14ac:dyDescent="0.35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 x14ac:dyDescent="0.35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 x14ac:dyDescent="0.35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 x14ac:dyDescent="0.35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 x14ac:dyDescent="0.35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 x14ac:dyDescent="0.35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 x14ac:dyDescent="0.35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 x14ac:dyDescent="0.35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 x14ac:dyDescent="0.35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 x14ac:dyDescent="0.35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 x14ac:dyDescent="0.35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 x14ac:dyDescent="0.35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 x14ac:dyDescent="0.35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 x14ac:dyDescent="0.35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 x14ac:dyDescent="0.35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 x14ac:dyDescent="0.35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 x14ac:dyDescent="0.35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 x14ac:dyDescent="0.35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 x14ac:dyDescent="0.35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 x14ac:dyDescent="0.35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 x14ac:dyDescent="0.35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 x14ac:dyDescent="0.35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 x14ac:dyDescent="0.35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 x14ac:dyDescent="0.35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 x14ac:dyDescent="0.35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 x14ac:dyDescent="0.35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 x14ac:dyDescent="0.35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 x14ac:dyDescent="0.35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 x14ac:dyDescent="0.35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 x14ac:dyDescent="0.35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 x14ac:dyDescent="0.35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 x14ac:dyDescent="0.35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 x14ac:dyDescent="0.35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 x14ac:dyDescent="0.35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 x14ac:dyDescent="0.35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 x14ac:dyDescent="0.35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 x14ac:dyDescent="0.35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 x14ac:dyDescent="0.35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 x14ac:dyDescent="0.35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 x14ac:dyDescent="0.35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 x14ac:dyDescent="0.35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 x14ac:dyDescent="0.35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 x14ac:dyDescent="0.35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 x14ac:dyDescent="0.35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 x14ac:dyDescent="0.35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 x14ac:dyDescent="0.35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 x14ac:dyDescent="0.35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 x14ac:dyDescent="0.35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 x14ac:dyDescent="0.35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 x14ac:dyDescent="0.35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 x14ac:dyDescent="0.35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 x14ac:dyDescent="0.35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 x14ac:dyDescent="0.35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 x14ac:dyDescent="0.35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 x14ac:dyDescent="0.35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 x14ac:dyDescent="0.35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 x14ac:dyDescent="0.35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 x14ac:dyDescent="0.35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 x14ac:dyDescent="0.35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 x14ac:dyDescent="0.35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 x14ac:dyDescent="0.35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 x14ac:dyDescent="0.35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 x14ac:dyDescent="0.35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 x14ac:dyDescent="0.35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 x14ac:dyDescent="0.35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 x14ac:dyDescent="0.35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 x14ac:dyDescent="0.35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 x14ac:dyDescent="0.35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 x14ac:dyDescent="0.35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 x14ac:dyDescent="0.35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 x14ac:dyDescent="0.35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 x14ac:dyDescent="0.35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 x14ac:dyDescent="0.35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 x14ac:dyDescent="0.35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 x14ac:dyDescent="0.35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 x14ac:dyDescent="0.35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 x14ac:dyDescent="0.35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 x14ac:dyDescent="0.35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 x14ac:dyDescent="0.35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 x14ac:dyDescent="0.35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 x14ac:dyDescent="0.35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 x14ac:dyDescent="0.35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 x14ac:dyDescent="0.35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 x14ac:dyDescent="0.35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 x14ac:dyDescent="0.35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 x14ac:dyDescent="0.35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 x14ac:dyDescent="0.35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 x14ac:dyDescent="0.35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 x14ac:dyDescent="0.35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 x14ac:dyDescent="0.35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 x14ac:dyDescent="0.35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 x14ac:dyDescent="0.35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 x14ac:dyDescent="0.35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 x14ac:dyDescent="0.35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 x14ac:dyDescent="0.35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 x14ac:dyDescent="0.35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 x14ac:dyDescent="0.35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 x14ac:dyDescent="0.35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 x14ac:dyDescent="0.35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 x14ac:dyDescent="0.35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 x14ac:dyDescent="0.35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 x14ac:dyDescent="0.35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 x14ac:dyDescent="0.35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 x14ac:dyDescent="0.35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 x14ac:dyDescent="0.35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 x14ac:dyDescent="0.35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 x14ac:dyDescent="0.35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 x14ac:dyDescent="0.35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 x14ac:dyDescent="0.35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 x14ac:dyDescent="0.35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 x14ac:dyDescent="0.35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 x14ac:dyDescent="0.35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 x14ac:dyDescent="0.35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 x14ac:dyDescent="0.35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 x14ac:dyDescent="0.35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 x14ac:dyDescent="0.35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 x14ac:dyDescent="0.35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 x14ac:dyDescent="0.35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 x14ac:dyDescent="0.35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 x14ac:dyDescent="0.35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 x14ac:dyDescent="0.35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 x14ac:dyDescent="0.35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 x14ac:dyDescent="0.35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 x14ac:dyDescent="0.35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 x14ac:dyDescent="0.35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 x14ac:dyDescent="0.35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 x14ac:dyDescent="0.35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 x14ac:dyDescent="0.35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 x14ac:dyDescent="0.35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 x14ac:dyDescent="0.35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 x14ac:dyDescent="0.35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 x14ac:dyDescent="0.35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 x14ac:dyDescent="0.35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 x14ac:dyDescent="0.35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 x14ac:dyDescent="0.35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 x14ac:dyDescent="0.35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 x14ac:dyDescent="0.35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 x14ac:dyDescent="0.35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 x14ac:dyDescent="0.35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 x14ac:dyDescent="0.35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 x14ac:dyDescent="0.35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 x14ac:dyDescent="0.35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 x14ac:dyDescent="0.35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 x14ac:dyDescent="0.35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 x14ac:dyDescent="0.35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 x14ac:dyDescent="0.35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 x14ac:dyDescent="0.35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 x14ac:dyDescent="0.35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 x14ac:dyDescent="0.35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 x14ac:dyDescent="0.35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 x14ac:dyDescent="0.35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 x14ac:dyDescent="0.35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 x14ac:dyDescent="0.35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 x14ac:dyDescent="0.35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 x14ac:dyDescent="0.35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 x14ac:dyDescent="0.35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 x14ac:dyDescent="0.35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 x14ac:dyDescent="0.35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 x14ac:dyDescent="0.35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 x14ac:dyDescent="0.35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 x14ac:dyDescent="0.35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 x14ac:dyDescent="0.35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 x14ac:dyDescent="0.35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 x14ac:dyDescent="0.35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 x14ac:dyDescent="0.35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 x14ac:dyDescent="0.35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 x14ac:dyDescent="0.35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 x14ac:dyDescent="0.35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 x14ac:dyDescent="0.35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 x14ac:dyDescent="0.35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 x14ac:dyDescent="0.35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 x14ac:dyDescent="0.35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 x14ac:dyDescent="0.35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 x14ac:dyDescent="0.35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 x14ac:dyDescent="0.35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 x14ac:dyDescent="0.35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 x14ac:dyDescent="0.35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 x14ac:dyDescent="0.35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 x14ac:dyDescent="0.35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 x14ac:dyDescent="0.35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 x14ac:dyDescent="0.35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 x14ac:dyDescent="0.35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 x14ac:dyDescent="0.35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 x14ac:dyDescent="0.35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 x14ac:dyDescent="0.35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 x14ac:dyDescent="0.35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 x14ac:dyDescent="0.35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 x14ac:dyDescent="0.35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 x14ac:dyDescent="0.35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 x14ac:dyDescent="0.35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 x14ac:dyDescent="0.35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 x14ac:dyDescent="0.35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 x14ac:dyDescent="0.35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 x14ac:dyDescent="0.35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 x14ac:dyDescent="0.35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 x14ac:dyDescent="0.35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 x14ac:dyDescent="0.35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 x14ac:dyDescent="0.35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 x14ac:dyDescent="0.35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 x14ac:dyDescent="0.35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 x14ac:dyDescent="0.35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 x14ac:dyDescent="0.35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 x14ac:dyDescent="0.35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 x14ac:dyDescent="0.35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 x14ac:dyDescent="0.35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 x14ac:dyDescent="0.35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 x14ac:dyDescent="0.35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 x14ac:dyDescent="0.35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 x14ac:dyDescent="0.35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 x14ac:dyDescent="0.35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 x14ac:dyDescent="0.35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 x14ac:dyDescent="0.35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 x14ac:dyDescent="0.35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 x14ac:dyDescent="0.35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 x14ac:dyDescent="0.35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 x14ac:dyDescent="0.35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 x14ac:dyDescent="0.35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 x14ac:dyDescent="0.35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 x14ac:dyDescent="0.35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 x14ac:dyDescent="0.35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 x14ac:dyDescent="0.35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 x14ac:dyDescent="0.35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 x14ac:dyDescent="0.35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 x14ac:dyDescent="0.35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 x14ac:dyDescent="0.35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 x14ac:dyDescent="0.35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 x14ac:dyDescent="0.35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 x14ac:dyDescent="0.35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 x14ac:dyDescent="0.35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 x14ac:dyDescent="0.35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 x14ac:dyDescent="0.35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 x14ac:dyDescent="0.35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 x14ac:dyDescent="0.35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 x14ac:dyDescent="0.35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 x14ac:dyDescent="0.35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 x14ac:dyDescent="0.35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 x14ac:dyDescent="0.35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 x14ac:dyDescent="0.35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 x14ac:dyDescent="0.35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 x14ac:dyDescent="0.35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 x14ac:dyDescent="0.35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 x14ac:dyDescent="0.35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 x14ac:dyDescent="0.35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 x14ac:dyDescent="0.35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 x14ac:dyDescent="0.35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 x14ac:dyDescent="0.35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 x14ac:dyDescent="0.35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 x14ac:dyDescent="0.35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 x14ac:dyDescent="0.35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 x14ac:dyDescent="0.35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 x14ac:dyDescent="0.35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 x14ac:dyDescent="0.35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 x14ac:dyDescent="0.35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 x14ac:dyDescent="0.35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 x14ac:dyDescent="0.35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 x14ac:dyDescent="0.35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 x14ac:dyDescent="0.35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 x14ac:dyDescent="0.35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 x14ac:dyDescent="0.35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 x14ac:dyDescent="0.35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 x14ac:dyDescent="0.35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 x14ac:dyDescent="0.35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 x14ac:dyDescent="0.35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 x14ac:dyDescent="0.35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 x14ac:dyDescent="0.35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 x14ac:dyDescent="0.35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 x14ac:dyDescent="0.35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 x14ac:dyDescent="0.35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 x14ac:dyDescent="0.35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 x14ac:dyDescent="0.35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 x14ac:dyDescent="0.35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 x14ac:dyDescent="0.35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 x14ac:dyDescent="0.35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 x14ac:dyDescent="0.35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 x14ac:dyDescent="0.35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 x14ac:dyDescent="0.35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 x14ac:dyDescent="0.35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 x14ac:dyDescent="0.35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 x14ac:dyDescent="0.35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 x14ac:dyDescent="0.35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 x14ac:dyDescent="0.35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 x14ac:dyDescent="0.35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 x14ac:dyDescent="0.35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 x14ac:dyDescent="0.35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 x14ac:dyDescent="0.35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 x14ac:dyDescent="0.35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 x14ac:dyDescent="0.35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 x14ac:dyDescent="0.35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 x14ac:dyDescent="0.35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 x14ac:dyDescent="0.35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 x14ac:dyDescent="0.35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 x14ac:dyDescent="0.35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 x14ac:dyDescent="0.35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 x14ac:dyDescent="0.35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 x14ac:dyDescent="0.35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 x14ac:dyDescent="0.35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 x14ac:dyDescent="0.35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 x14ac:dyDescent="0.35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 x14ac:dyDescent="0.35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 x14ac:dyDescent="0.35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 x14ac:dyDescent="0.35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 x14ac:dyDescent="0.35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 x14ac:dyDescent="0.35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 x14ac:dyDescent="0.35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 x14ac:dyDescent="0.35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 x14ac:dyDescent="0.35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 x14ac:dyDescent="0.35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 x14ac:dyDescent="0.35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 x14ac:dyDescent="0.35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 x14ac:dyDescent="0.35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 x14ac:dyDescent="0.35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 x14ac:dyDescent="0.35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 x14ac:dyDescent="0.35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 x14ac:dyDescent="0.35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 x14ac:dyDescent="0.35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 x14ac:dyDescent="0.35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 x14ac:dyDescent="0.35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 x14ac:dyDescent="0.35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 x14ac:dyDescent="0.35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 x14ac:dyDescent="0.35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 x14ac:dyDescent="0.35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 x14ac:dyDescent="0.35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 x14ac:dyDescent="0.35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 x14ac:dyDescent="0.35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 x14ac:dyDescent="0.35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 x14ac:dyDescent="0.35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 x14ac:dyDescent="0.35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 x14ac:dyDescent="0.35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 x14ac:dyDescent="0.35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 x14ac:dyDescent="0.35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 x14ac:dyDescent="0.35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 x14ac:dyDescent="0.35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 x14ac:dyDescent="0.35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 x14ac:dyDescent="0.35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 x14ac:dyDescent="0.35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 x14ac:dyDescent="0.35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 x14ac:dyDescent="0.35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 x14ac:dyDescent="0.35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 x14ac:dyDescent="0.35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 x14ac:dyDescent="0.35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 x14ac:dyDescent="0.35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 x14ac:dyDescent="0.35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 x14ac:dyDescent="0.35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 x14ac:dyDescent="0.35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 x14ac:dyDescent="0.35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 x14ac:dyDescent="0.35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 x14ac:dyDescent="0.35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 x14ac:dyDescent="0.35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 x14ac:dyDescent="0.35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 x14ac:dyDescent="0.35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 x14ac:dyDescent="0.35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 x14ac:dyDescent="0.35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 x14ac:dyDescent="0.35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 x14ac:dyDescent="0.35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 x14ac:dyDescent="0.35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 x14ac:dyDescent="0.35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 x14ac:dyDescent="0.35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 x14ac:dyDescent="0.35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 x14ac:dyDescent="0.35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 x14ac:dyDescent="0.35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 x14ac:dyDescent="0.35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 x14ac:dyDescent="0.35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 x14ac:dyDescent="0.35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 x14ac:dyDescent="0.35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 x14ac:dyDescent="0.35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 x14ac:dyDescent="0.35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 x14ac:dyDescent="0.35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 x14ac:dyDescent="0.35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 x14ac:dyDescent="0.35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 x14ac:dyDescent="0.35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 x14ac:dyDescent="0.35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 x14ac:dyDescent="0.35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 x14ac:dyDescent="0.35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 x14ac:dyDescent="0.35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 x14ac:dyDescent="0.35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 x14ac:dyDescent="0.35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 x14ac:dyDescent="0.35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 x14ac:dyDescent="0.35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 x14ac:dyDescent="0.35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 x14ac:dyDescent="0.35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 x14ac:dyDescent="0.35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 x14ac:dyDescent="0.35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 x14ac:dyDescent="0.35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 x14ac:dyDescent="0.35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 x14ac:dyDescent="0.35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 x14ac:dyDescent="0.35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 x14ac:dyDescent="0.35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 x14ac:dyDescent="0.35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 x14ac:dyDescent="0.35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 x14ac:dyDescent="0.35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 x14ac:dyDescent="0.35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 x14ac:dyDescent="0.35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 x14ac:dyDescent="0.35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 x14ac:dyDescent="0.35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 x14ac:dyDescent="0.35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 x14ac:dyDescent="0.35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 x14ac:dyDescent="0.35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 x14ac:dyDescent="0.35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 x14ac:dyDescent="0.35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 x14ac:dyDescent="0.35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 x14ac:dyDescent="0.35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 x14ac:dyDescent="0.35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 x14ac:dyDescent="0.35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 x14ac:dyDescent="0.35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 x14ac:dyDescent="0.35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 x14ac:dyDescent="0.35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 x14ac:dyDescent="0.35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 x14ac:dyDescent="0.35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 x14ac:dyDescent="0.35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 x14ac:dyDescent="0.35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 x14ac:dyDescent="0.35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 x14ac:dyDescent="0.35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 x14ac:dyDescent="0.35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 x14ac:dyDescent="0.35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 x14ac:dyDescent="0.35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 x14ac:dyDescent="0.35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 x14ac:dyDescent="0.35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 x14ac:dyDescent="0.35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 x14ac:dyDescent="0.35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 x14ac:dyDescent="0.35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 x14ac:dyDescent="0.35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 x14ac:dyDescent="0.35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 x14ac:dyDescent="0.35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 x14ac:dyDescent="0.35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 x14ac:dyDescent="0.35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 x14ac:dyDescent="0.35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 x14ac:dyDescent="0.35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 x14ac:dyDescent="0.35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 x14ac:dyDescent="0.35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 x14ac:dyDescent="0.35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 x14ac:dyDescent="0.35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 x14ac:dyDescent="0.35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 x14ac:dyDescent="0.35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 x14ac:dyDescent="0.35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 x14ac:dyDescent="0.35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 x14ac:dyDescent="0.35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 x14ac:dyDescent="0.35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 x14ac:dyDescent="0.35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 x14ac:dyDescent="0.35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 x14ac:dyDescent="0.35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 x14ac:dyDescent="0.35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 x14ac:dyDescent="0.35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 x14ac:dyDescent="0.35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 x14ac:dyDescent="0.35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 x14ac:dyDescent="0.35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 x14ac:dyDescent="0.35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 x14ac:dyDescent="0.35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 x14ac:dyDescent="0.35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 x14ac:dyDescent="0.35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 x14ac:dyDescent="0.35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 x14ac:dyDescent="0.35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 x14ac:dyDescent="0.35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 x14ac:dyDescent="0.35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 x14ac:dyDescent="0.35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 x14ac:dyDescent="0.35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 x14ac:dyDescent="0.35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 x14ac:dyDescent="0.35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 x14ac:dyDescent="0.35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 x14ac:dyDescent="0.35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 x14ac:dyDescent="0.35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 x14ac:dyDescent="0.35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 x14ac:dyDescent="0.35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 x14ac:dyDescent="0.35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 x14ac:dyDescent="0.35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 x14ac:dyDescent="0.35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 x14ac:dyDescent="0.35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 x14ac:dyDescent="0.35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 x14ac:dyDescent="0.35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 x14ac:dyDescent="0.35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 x14ac:dyDescent="0.35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 x14ac:dyDescent="0.35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 x14ac:dyDescent="0.35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 x14ac:dyDescent="0.35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 x14ac:dyDescent="0.35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 x14ac:dyDescent="0.35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 x14ac:dyDescent="0.35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 x14ac:dyDescent="0.35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 x14ac:dyDescent="0.35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 x14ac:dyDescent="0.35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 x14ac:dyDescent="0.35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 x14ac:dyDescent="0.35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 x14ac:dyDescent="0.35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 x14ac:dyDescent="0.35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 x14ac:dyDescent="0.35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 x14ac:dyDescent="0.35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 x14ac:dyDescent="0.35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 x14ac:dyDescent="0.35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 x14ac:dyDescent="0.35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 x14ac:dyDescent="0.35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 x14ac:dyDescent="0.35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 x14ac:dyDescent="0.35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 x14ac:dyDescent="0.35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 x14ac:dyDescent="0.35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 x14ac:dyDescent="0.35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 x14ac:dyDescent="0.35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 x14ac:dyDescent="0.35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 x14ac:dyDescent="0.35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 x14ac:dyDescent="0.35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 x14ac:dyDescent="0.35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 x14ac:dyDescent="0.35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 x14ac:dyDescent="0.35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 x14ac:dyDescent="0.35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 x14ac:dyDescent="0.35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 x14ac:dyDescent="0.35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 x14ac:dyDescent="0.35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 x14ac:dyDescent="0.35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 x14ac:dyDescent="0.35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 x14ac:dyDescent="0.35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 x14ac:dyDescent="0.35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 x14ac:dyDescent="0.35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 x14ac:dyDescent="0.35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 x14ac:dyDescent="0.35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 x14ac:dyDescent="0.35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 x14ac:dyDescent="0.35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 x14ac:dyDescent="0.35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 x14ac:dyDescent="0.35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 x14ac:dyDescent="0.35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 x14ac:dyDescent="0.35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 x14ac:dyDescent="0.35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 x14ac:dyDescent="0.35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 x14ac:dyDescent="0.35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 x14ac:dyDescent="0.35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 x14ac:dyDescent="0.35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 x14ac:dyDescent="0.35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 x14ac:dyDescent="0.35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 x14ac:dyDescent="0.35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 x14ac:dyDescent="0.35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 x14ac:dyDescent="0.35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 x14ac:dyDescent="0.35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 x14ac:dyDescent="0.35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 x14ac:dyDescent="0.35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 x14ac:dyDescent="0.35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 x14ac:dyDescent="0.35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 x14ac:dyDescent="0.35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 x14ac:dyDescent="0.35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 x14ac:dyDescent="0.35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 x14ac:dyDescent="0.35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 x14ac:dyDescent="0.35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 x14ac:dyDescent="0.35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 x14ac:dyDescent="0.35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 x14ac:dyDescent="0.35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 x14ac:dyDescent="0.35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 x14ac:dyDescent="0.35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 x14ac:dyDescent="0.35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 x14ac:dyDescent="0.35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 x14ac:dyDescent="0.35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 x14ac:dyDescent="0.35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 x14ac:dyDescent="0.35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 x14ac:dyDescent="0.35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 x14ac:dyDescent="0.35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 x14ac:dyDescent="0.35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 x14ac:dyDescent="0.35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 x14ac:dyDescent="0.35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 x14ac:dyDescent="0.35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 x14ac:dyDescent="0.35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 x14ac:dyDescent="0.35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 x14ac:dyDescent="0.35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 x14ac:dyDescent="0.35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 x14ac:dyDescent="0.35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 x14ac:dyDescent="0.35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 x14ac:dyDescent="0.35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 x14ac:dyDescent="0.35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 x14ac:dyDescent="0.35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 x14ac:dyDescent="0.35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 x14ac:dyDescent="0.35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 x14ac:dyDescent="0.35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 x14ac:dyDescent="0.35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 x14ac:dyDescent="0.35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 x14ac:dyDescent="0.35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 x14ac:dyDescent="0.35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 x14ac:dyDescent="0.35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 x14ac:dyDescent="0.35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 x14ac:dyDescent="0.35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 x14ac:dyDescent="0.35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 x14ac:dyDescent="0.35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 x14ac:dyDescent="0.35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 x14ac:dyDescent="0.35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 x14ac:dyDescent="0.35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 x14ac:dyDescent="0.35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 x14ac:dyDescent="0.35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 x14ac:dyDescent="0.35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 x14ac:dyDescent="0.35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 x14ac:dyDescent="0.35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 x14ac:dyDescent="0.35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 x14ac:dyDescent="0.35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 x14ac:dyDescent="0.35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 x14ac:dyDescent="0.35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 x14ac:dyDescent="0.35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 x14ac:dyDescent="0.35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 x14ac:dyDescent="0.35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 x14ac:dyDescent="0.35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 x14ac:dyDescent="0.35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 x14ac:dyDescent="0.35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 x14ac:dyDescent="0.35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 x14ac:dyDescent="0.35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 x14ac:dyDescent="0.35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 x14ac:dyDescent="0.35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 x14ac:dyDescent="0.35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 x14ac:dyDescent="0.35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 x14ac:dyDescent="0.35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 x14ac:dyDescent="0.35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 x14ac:dyDescent="0.35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 x14ac:dyDescent="0.35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 x14ac:dyDescent="0.35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 x14ac:dyDescent="0.35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 x14ac:dyDescent="0.35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 x14ac:dyDescent="0.35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 x14ac:dyDescent="0.35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 x14ac:dyDescent="0.35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 x14ac:dyDescent="0.35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 x14ac:dyDescent="0.35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 x14ac:dyDescent="0.35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 x14ac:dyDescent="0.35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 x14ac:dyDescent="0.35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 x14ac:dyDescent="0.35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 x14ac:dyDescent="0.35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 x14ac:dyDescent="0.35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 x14ac:dyDescent="0.35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 x14ac:dyDescent="0.35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 x14ac:dyDescent="0.35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 x14ac:dyDescent="0.35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 x14ac:dyDescent="0.35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 x14ac:dyDescent="0.35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 x14ac:dyDescent="0.35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 x14ac:dyDescent="0.35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 x14ac:dyDescent="0.35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 x14ac:dyDescent="0.35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 x14ac:dyDescent="0.35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 x14ac:dyDescent="0.35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 x14ac:dyDescent="0.35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 x14ac:dyDescent="0.35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 x14ac:dyDescent="0.35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 x14ac:dyDescent="0.35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 x14ac:dyDescent="0.35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 x14ac:dyDescent="0.35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 x14ac:dyDescent="0.35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 x14ac:dyDescent="0.35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 x14ac:dyDescent="0.35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 x14ac:dyDescent="0.35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 x14ac:dyDescent="0.35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 x14ac:dyDescent="0.35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 x14ac:dyDescent="0.35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 x14ac:dyDescent="0.35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 x14ac:dyDescent="0.35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 x14ac:dyDescent="0.35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 x14ac:dyDescent="0.35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 x14ac:dyDescent="0.35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 x14ac:dyDescent="0.35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 x14ac:dyDescent="0.35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 x14ac:dyDescent="0.35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 x14ac:dyDescent="0.35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 x14ac:dyDescent="0.35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 x14ac:dyDescent="0.35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 x14ac:dyDescent="0.35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 x14ac:dyDescent="0.35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 x14ac:dyDescent="0.35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 x14ac:dyDescent="0.35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 x14ac:dyDescent="0.35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 x14ac:dyDescent="0.35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 x14ac:dyDescent="0.35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 x14ac:dyDescent="0.35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 x14ac:dyDescent="0.35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 x14ac:dyDescent="0.35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 x14ac:dyDescent="0.35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 x14ac:dyDescent="0.35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 x14ac:dyDescent="0.35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 x14ac:dyDescent="0.35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 x14ac:dyDescent="0.35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 x14ac:dyDescent="0.35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 x14ac:dyDescent="0.35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 x14ac:dyDescent="0.35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 x14ac:dyDescent="0.35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 x14ac:dyDescent="0.35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 x14ac:dyDescent="0.35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 x14ac:dyDescent="0.35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 x14ac:dyDescent="0.35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 x14ac:dyDescent="0.35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 x14ac:dyDescent="0.35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 x14ac:dyDescent="0.35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 x14ac:dyDescent="0.35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 x14ac:dyDescent="0.35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 x14ac:dyDescent="0.35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 x14ac:dyDescent="0.35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 x14ac:dyDescent="0.35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 x14ac:dyDescent="0.35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 x14ac:dyDescent="0.35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 x14ac:dyDescent="0.35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 x14ac:dyDescent="0.35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 x14ac:dyDescent="0.35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 x14ac:dyDescent="0.35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 x14ac:dyDescent="0.35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 x14ac:dyDescent="0.35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 x14ac:dyDescent="0.35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 x14ac:dyDescent="0.35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 x14ac:dyDescent="0.35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 x14ac:dyDescent="0.35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 x14ac:dyDescent="0.35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 x14ac:dyDescent="0.35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 x14ac:dyDescent="0.35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 x14ac:dyDescent="0.35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 x14ac:dyDescent="0.35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 x14ac:dyDescent="0.35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 x14ac:dyDescent="0.35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 x14ac:dyDescent="0.35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 x14ac:dyDescent="0.35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 x14ac:dyDescent="0.35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 x14ac:dyDescent="0.35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 x14ac:dyDescent="0.35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 x14ac:dyDescent="0.35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 x14ac:dyDescent="0.35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 x14ac:dyDescent="0.35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 x14ac:dyDescent="0.35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 x14ac:dyDescent="0.35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 x14ac:dyDescent="0.35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 x14ac:dyDescent="0.35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 x14ac:dyDescent="0.35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 x14ac:dyDescent="0.35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 x14ac:dyDescent="0.35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 x14ac:dyDescent="0.35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 x14ac:dyDescent="0.35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 x14ac:dyDescent="0.35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 x14ac:dyDescent="0.35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 x14ac:dyDescent="0.35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 x14ac:dyDescent="0.35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 x14ac:dyDescent="0.35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 x14ac:dyDescent="0.35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 x14ac:dyDescent="0.35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 x14ac:dyDescent="0.35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 x14ac:dyDescent="0.35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 x14ac:dyDescent="0.35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 x14ac:dyDescent="0.35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 x14ac:dyDescent="0.35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 x14ac:dyDescent="0.35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 x14ac:dyDescent="0.35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 x14ac:dyDescent="0.35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 x14ac:dyDescent="0.35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 x14ac:dyDescent="0.35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 x14ac:dyDescent="0.35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 x14ac:dyDescent="0.35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 x14ac:dyDescent="0.35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 x14ac:dyDescent="0.35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 x14ac:dyDescent="0.35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 x14ac:dyDescent="0.35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 x14ac:dyDescent="0.35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 x14ac:dyDescent="0.35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 x14ac:dyDescent="0.35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 x14ac:dyDescent="0.35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 x14ac:dyDescent="0.35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 x14ac:dyDescent="0.35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 x14ac:dyDescent="0.35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 x14ac:dyDescent="0.35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 x14ac:dyDescent="0.35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 x14ac:dyDescent="0.35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 x14ac:dyDescent="0.35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 x14ac:dyDescent="0.35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 x14ac:dyDescent="0.35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 x14ac:dyDescent="0.35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 x14ac:dyDescent="0.35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 x14ac:dyDescent="0.35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 x14ac:dyDescent="0.35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 x14ac:dyDescent="0.35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 x14ac:dyDescent="0.35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 x14ac:dyDescent="0.35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 x14ac:dyDescent="0.35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 x14ac:dyDescent="0.35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 x14ac:dyDescent="0.35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 x14ac:dyDescent="0.35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 x14ac:dyDescent="0.35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 x14ac:dyDescent="0.35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 x14ac:dyDescent="0.35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 x14ac:dyDescent="0.35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 x14ac:dyDescent="0.35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 x14ac:dyDescent="0.35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 x14ac:dyDescent="0.35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 x14ac:dyDescent="0.35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 x14ac:dyDescent="0.35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 x14ac:dyDescent="0.35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 x14ac:dyDescent="0.35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 x14ac:dyDescent="0.35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 x14ac:dyDescent="0.35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 x14ac:dyDescent="0.35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 x14ac:dyDescent="0.35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 x14ac:dyDescent="0.35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 x14ac:dyDescent="0.35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 x14ac:dyDescent="0.35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 x14ac:dyDescent="0.35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 x14ac:dyDescent="0.35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 x14ac:dyDescent="0.35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 x14ac:dyDescent="0.35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 x14ac:dyDescent="0.35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 x14ac:dyDescent="0.35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 x14ac:dyDescent="0.35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 x14ac:dyDescent="0.35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 x14ac:dyDescent="0.35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 x14ac:dyDescent="0.35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 x14ac:dyDescent="0.35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 x14ac:dyDescent="0.35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 x14ac:dyDescent="0.35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 x14ac:dyDescent="0.35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 x14ac:dyDescent="0.35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 x14ac:dyDescent="0.35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 x14ac:dyDescent="0.35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 x14ac:dyDescent="0.35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 x14ac:dyDescent="0.35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 x14ac:dyDescent="0.35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 x14ac:dyDescent="0.35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 x14ac:dyDescent="0.35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 x14ac:dyDescent="0.35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 x14ac:dyDescent="0.35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 x14ac:dyDescent="0.35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 x14ac:dyDescent="0.35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 x14ac:dyDescent="0.35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 x14ac:dyDescent="0.35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 x14ac:dyDescent="0.35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 x14ac:dyDescent="0.35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 x14ac:dyDescent="0.35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 x14ac:dyDescent="0.35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 x14ac:dyDescent="0.35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 x14ac:dyDescent="0.35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 x14ac:dyDescent="0.35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 x14ac:dyDescent="0.35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 x14ac:dyDescent="0.35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 x14ac:dyDescent="0.35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 x14ac:dyDescent="0.35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 x14ac:dyDescent="0.35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 x14ac:dyDescent="0.35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 x14ac:dyDescent="0.35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 x14ac:dyDescent="0.35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 x14ac:dyDescent="0.35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 x14ac:dyDescent="0.35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 x14ac:dyDescent="0.35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 x14ac:dyDescent="0.35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 x14ac:dyDescent="0.35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 x14ac:dyDescent="0.35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 x14ac:dyDescent="0.35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 x14ac:dyDescent="0.35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 x14ac:dyDescent="0.35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 x14ac:dyDescent="0.35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 x14ac:dyDescent="0.35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 x14ac:dyDescent="0.35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 x14ac:dyDescent="0.35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 x14ac:dyDescent="0.35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 x14ac:dyDescent="0.35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 x14ac:dyDescent="0.35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 x14ac:dyDescent="0.35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 x14ac:dyDescent="0.35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 x14ac:dyDescent="0.35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 x14ac:dyDescent="0.35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 x14ac:dyDescent="0.35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 x14ac:dyDescent="0.35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 x14ac:dyDescent="0.35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 x14ac:dyDescent="0.35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 x14ac:dyDescent="0.35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 x14ac:dyDescent="0.35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 x14ac:dyDescent="0.35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 x14ac:dyDescent="0.35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 x14ac:dyDescent="0.35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 x14ac:dyDescent="0.35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 x14ac:dyDescent="0.35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 x14ac:dyDescent="0.35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 x14ac:dyDescent="0.35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 x14ac:dyDescent="0.35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 x14ac:dyDescent="0.35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 x14ac:dyDescent="0.35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 x14ac:dyDescent="0.35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 x14ac:dyDescent="0.35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 x14ac:dyDescent="0.35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 x14ac:dyDescent="0.35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 x14ac:dyDescent="0.35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 x14ac:dyDescent="0.35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 x14ac:dyDescent="0.35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 x14ac:dyDescent="0.35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 x14ac:dyDescent="0.35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 x14ac:dyDescent="0.35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 x14ac:dyDescent="0.35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 x14ac:dyDescent="0.35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 x14ac:dyDescent="0.35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 x14ac:dyDescent="0.35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 x14ac:dyDescent="0.35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 x14ac:dyDescent="0.35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 x14ac:dyDescent="0.35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 x14ac:dyDescent="0.35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 x14ac:dyDescent="0.35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 x14ac:dyDescent="0.35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 x14ac:dyDescent="0.35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 x14ac:dyDescent="0.35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 x14ac:dyDescent="0.35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 x14ac:dyDescent="0.35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 x14ac:dyDescent="0.35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 x14ac:dyDescent="0.35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 x14ac:dyDescent="0.35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 x14ac:dyDescent="0.35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 x14ac:dyDescent="0.35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 x14ac:dyDescent="0.35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 x14ac:dyDescent="0.35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 x14ac:dyDescent="0.35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 x14ac:dyDescent="0.35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 x14ac:dyDescent="0.35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 x14ac:dyDescent="0.35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 x14ac:dyDescent="0.35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 x14ac:dyDescent="0.35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 x14ac:dyDescent="0.35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 x14ac:dyDescent="0.35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 x14ac:dyDescent="0.35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 x14ac:dyDescent="0.35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 x14ac:dyDescent="0.35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 x14ac:dyDescent="0.35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 x14ac:dyDescent="0.35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 x14ac:dyDescent="0.35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 x14ac:dyDescent="0.35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 x14ac:dyDescent="0.35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 x14ac:dyDescent="0.35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 x14ac:dyDescent="0.35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 x14ac:dyDescent="0.35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 x14ac:dyDescent="0.35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 x14ac:dyDescent="0.35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 x14ac:dyDescent="0.35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 x14ac:dyDescent="0.35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 x14ac:dyDescent="0.35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 x14ac:dyDescent="0.35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 x14ac:dyDescent="0.35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 x14ac:dyDescent="0.35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 x14ac:dyDescent="0.35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 x14ac:dyDescent="0.35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 x14ac:dyDescent="0.35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 x14ac:dyDescent="0.35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 x14ac:dyDescent="0.35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 x14ac:dyDescent="0.35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 x14ac:dyDescent="0.35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 x14ac:dyDescent="0.35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 x14ac:dyDescent="0.35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 x14ac:dyDescent="0.35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 x14ac:dyDescent="0.35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 x14ac:dyDescent="0.35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 x14ac:dyDescent="0.35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 x14ac:dyDescent="0.35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 x14ac:dyDescent="0.35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 x14ac:dyDescent="0.35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 x14ac:dyDescent="0.35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 x14ac:dyDescent="0.35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 x14ac:dyDescent="0.35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 x14ac:dyDescent="0.35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 x14ac:dyDescent="0.35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 x14ac:dyDescent="0.35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 x14ac:dyDescent="0.35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 x14ac:dyDescent="0.35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 x14ac:dyDescent="0.35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 x14ac:dyDescent="0.35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 x14ac:dyDescent="0.35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 x14ac:dyDescent="0.35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 x14ac:dyDescent="0.35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 x14ac:dyDescent="0.35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 x14ac:dyDescent="0.35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 x14ac:dyDescent="0.35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 x14ac:dyDescent="0.35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 x14ac:dyDescent="0.35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 x14ac:dyDescent="0.35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 x14ac:dyDescent="0.35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 x14ac:dyDescent="0.35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 x14ac:dyDescent="0.35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 x14ac:dyDescent="0.35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 x14ac:dyDescent="0.35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 x14ac:dyDescent="0.35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 x14ac:dyDescent="0.35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 x14ac:dyDescent="0.35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 x14ac:dyDescent="0.35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 x14ac:dyDescent="0.35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 x14ac:dyDescent="0.35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 x14ac:dyDescent="0.35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 x14ac:dyDescent="0.35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 x14ac:dyDescent="0.35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 x14ac:dyDescent="0.35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 x14ac:dyDescent="0.35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 x14ac:dyDescent="0.35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 x14ac:dyDescent="0.35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 x14ac:dyDescent="0.35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 x14ac:dyDescent="0.35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 x14ac:dyDescent="0.35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 x14ac:dyDescent="0.35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 x14ac:dyDescent="0.35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 x14ac:dyDescent="0.35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 x14ac:dyDescent="0.35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 x14ac:dyDescent="0.35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 x14ac:dyDescent="0.35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 x14ac:dyDescent="0.35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 x14ac:dyDescent="0.35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 x14ac:dyDescent="0.35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 x14ac:dyDescent="0.35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 x14ac:dyDescent="0.35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 x14ac:dyDescent="0.35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 x14ac:dyDescent="0.35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 x14ac:dyDescent="0.35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 x14ac:dyDescent="0.35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 x14ac:dyDescent="0.35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 x14ac:dyDescent="0.35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 x14ac:dyDescent="0.35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 x14ac:dyDescent="0.35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 x14ac:dyDescent="0.35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 x14ac:dyDescent="0.35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 x14ac:dyDescent="0.35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 x14ac:dyDescent="0.35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 x14ac:dyDescent="0.35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 x14ac:dyDescent="0.35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 x14ac:dyDescent="0.35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 x14ac:dyDescent="0.35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 x14ac:dyDescent="0.35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 x14ac:dyDescent="0.35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 x14ac:dyDescent="0.35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 x14ac:dyDescent="0.35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 x14ac:dyDescent="0.35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 x14ac:dyDescent="0.35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 x14ac:dyDescent="0.35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 x14ac:dyDescent="0.35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 x14ac:dyDescent="0.35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 x14ac:dyDescent="0.35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 x14ac:dyDescent="0.35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 x14ac:dyDescent="0.35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 x14ac:dyDescent="0.35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 x14ac:dyDescent="0.35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 x14ac:dyDescent="0.35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 x14ac:dyDescent="0.35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 x14ac:dyDescent="0.35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 x14ac:dyDescent="0.35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 x14ac:dyDescent="0.35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 x14ac:dyDescent="0.35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 x14ac:dyDescent="0.35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 x14ac:dyDescent="0.35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 x14ac:dyDescent="0.35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 x14ac:dyDescent="0.35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 x14ac:dyDescent="0.35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 x14ac:dyDescent="0.35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 x14ac:dyDescent="0.35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 x14ac:dyDescent="0.35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 x14ac:dyDescent="0.35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 x14ac:dyDescent="0.35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 x14ac:dyDescent="0.35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 x14ac:dyDescent="0.35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 x14ac:dyDescent="0.35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 x14ac:dyDescent="0.35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 x14ac:dyDescent="0.35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 x14ac:dyDescent="0.35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 x14ac:dyDescent="0.35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 x14ac:dyDescent="0.35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 x14ac:dyDescent="0.35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 x14ac:dyDescent="0.35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 x14ac:dyDescent="0.35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 x14ac:dyDescent="0.35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 x14ac:dyDescent="0.35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 x14ac:dyDescent="0.35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 x14ac:dyDescent="0.35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 x14ac:dyDescent="0.35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 x14ac:dyDescent="0.35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 x14ac:dyDescent="0.35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 x14ac:dyDescent="0.35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 x14ac:dyDescent="0.35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 x14ac:dyDescent="0.35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 x14ac:dyDescent="0.35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 x14ac:dyDescent="0.35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 x14ac:dyDescent="0.35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 x14ac:dyDescent="0.35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 x14ac:dyDescent="0.35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 x14ac:dyDescent="0.35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 x14ac:dyDescent="0.35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 x14ac:dyDescent="0.35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 x14ac:dyDescent="0.35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 x14ac:dyDescent="0.35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 x14ac:dyDescent="0.35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 x14ac:dyDescent="0.35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 x14ac:dyDescent="0.35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 x14ac:dyDescent="0.35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 x14ac:dyDescent="0.35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 x14ac:dyDescent="0.35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 x14ac:dyDescent="0.35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 x14ac:dyDescent="0.35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 x14ac:dyDescent="0.35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 x14ac:dyDescent="0.35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 x14ac:dyDescent="0.35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 x14ac:dyDescent="0.35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 x14ac:dyDescent="0.35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 x14ac:dyDescent="0.35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 x14ac:dyDescent="0.35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 x14ac:dyDescent="0.35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 x14ac:dyDescent="0.35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 x14ac:dyDescent="0.35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 x14ac:dyDescent="0.35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 x14ac:dyDescent="0.35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 x14ac:dyDescent="0.35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 x14ac:dyDescent="0.35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 x14ac:dyDescent="0.35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 x14ac:dyDescent="0.35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 x14ac:dyDescent="0.35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 x14ac:dyDescent="0.35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 x14ac:dyDescent="0.35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 x14ac:dyDescent="0.35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 x14ac:dyDescent="0.35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 x14ac:dyDescent="0.35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 x14ac:dyDescent="0.35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 x14ac:dyDescent="0.35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 x14ac:dyDescent="0.35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 x14ac:dyDescent="0.35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 x14ac:dyDescent="0.35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 x14ac:dyDescent="0.35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 x14ac:dyDescent="0.35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 x14ac:dyDescent="0.35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 x14ac:dyDescent="0.35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 x14ac:dyDescent="0.35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 x14ac:dyDescent="0.35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 x14ac:dyDescent="0.35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 x14ac:dyDescent="0.35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 x14ac:dyDescent="0.35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 x14ac:dyDescent="0.35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 x14ac:dyDescent="0.35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 x14ac:dyDescent="0.35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 x14ac:dyDescent="0.35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 x14ac:dyDescent="0.35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 x14ac:dyDescent="0.35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 x14ac:dyDescent="0.35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 x14ac:dyDescent="0.35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 x14ac:dyDescent="0.35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 x14ac:dyDescent="0.35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 x14ac:dyDescent="0.35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 x14ac:dyDescent="0.35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 x14ac:dyDescent="0.35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 x14ac:dyDescent="0.35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 x14ac:dyDescent="0.35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 x14ac:dyDescent="0.35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 x14ac:dyDescent="0.35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 x14ac:dyDescent="0.35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 x14ac:dyDescent="0.35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 x14ac:dyDescent="0.35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 x14ac:dyDescent="0.35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 x14ac:dyDescent="0.35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 x14ac:dyDescent="0.35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 x14ac:dyDescent="0.35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 x14ac:dyDescent="0.35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 x14ac:dyDescent="0.35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 x14ac:dyDescent="0.35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 x14ac:dyDescent="0.35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 x14ac:dyDescent="0.35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 x14ac:dyDescent="0.35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 x14ac:dyDescent="0.35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 x14ac:dyDescent="0.35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 x14ac:dyDescent="0.35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 x14ac:dyDescent="0.35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 x14ac:dyDescent="0.35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 x14ac:dyDescent="0.35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 x14ac:dyDescent="0.35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 x14ac:dyDescent="0.35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 x14ac:dyDescent="0.35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 x14ac:dyDescent="0.35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 x14ac:dyDescent="0.35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 x14ac:dyDescent="0.35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 x14ac:dyDescent="0.35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 x14ac:dyDescent="0.35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 x14ac:dyDescent="0.35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 x14ac:dyDescent="0.35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 x14ac:dyDescent="0.35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 x14ac:dyDescent="0.35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 x14ac:dyDescent="0.35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 x14ac:dyDescent="0.35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 x14ac:dyDescent="0.35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 x14ac:dyDescent="0.35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 x14ac:dyDescent="0.35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 x14ac:dyDescent="0.35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 x14ac:dyDescent="0.35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 x14ac:dyDescent="0.35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 x14ac:dyDescent="0.35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 x14ac:dyDescent="0.35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 x14ac:dyDescent="0.35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 x14ac:dyDescent="0.35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 x14ac:dyDescent="0.35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 x14ac:dyDescent="0.35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 x14ac:dyDescent="0.35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 x14ac:dyDescent="0.35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 x14ac:dyDescent="0.35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 x14ac:dyDescent="0.35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 x14ac:dyDescent="0.35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 x14ac:dyDescent="0.35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 x14ac:dyDescent="0.35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 x14ac:dyDescent="0.35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 x14ac:dyDescent="0.35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 x14ac:dyDescent="0.35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 x14ac:dyDescent="0.35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 x14ac:dyDescent="0.35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 x14ac:dyDescent="0.35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 x14ac:dyDescent="0.35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 x14ac:dyDescent="0.35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 x14ac:dyDescent="0.35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 x14ac:dyDescent="0.35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 x14ac:dyDescent="0.35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 x14ac:dyDescent="0.35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 x14ac:dyDescent="0.35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 x14ac:dyDescent="0.35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 x14ac:dyDescent="0.35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 x14ac:dyDescent="0.35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 x14ac:dyDescent="0.35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 x14ac:dyDescent="0.35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 x14ac:dyDescent="0.35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 x14ac:dyDescent="0.35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 x14ac:dyDescent="0.35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 x14ac:dyDescent="0.35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 x14ac:dyDescent="0.35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 x14ac:dyDescent="0.35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 x14ac:dyDescent="0.35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 x14ac:dyDescent="0.35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 x14ac:dyDescent="0.35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 x14ac:dyDescent="0.35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 x14ac:dyDescent="0.35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 x14ac:dyDescent="0.35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 x14ac:dyDescent="0.35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 x14ac:dyDescent="0.35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 x14ac:dyDescent="0.35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 x14ac:dyDescent="0.35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 x14ac:dyDescent="0.35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 x14ac:dyDescent="0.35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 x14ac:dyDescent="0.35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 x14ac:dyDescent="0.35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 x14ac:dyDescent="0.35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 x14ac:dyDescent="0.35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 x14ac:dyDescent="0.35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 x14ac:dyDescent="0.35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 x14ac:dyDescent="0.35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 x14ac:dyDescent="0.35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 x14ac:dyDescent="0.35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 x14ac:dyDescent="0.35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 x14ac:dyDescent="0.35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 x14ac:dyDescent="0.35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 x14ac:dyDescent="0.35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 x14ac:dyDescent="0.35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 x14ac:dyDescent="0.35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 x14ac:dyDescent="0.35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 x14ac:dyDescent="0.35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 x14ac:dyDescent="0.35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 x14ac:dyDescent="0.35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 x14ac:dyDescent="0.35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 x14ac:dyDescent="0.35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 x14ac:dyDescent="0.35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 x14ac:dyDescent="0.35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 x14ac:dyDescent="0.35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 x14ac:dyDescent="0.35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 x14ac:dyDescent="0.35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 x14ac:dyDescent="0.35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 x14ac:dyDescent="0.35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 x14ac:dyDescent="0.35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 x14ac:dyDescent="0.35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 x14ac:dyDescent="0.35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 x14ac:dyDescent="0.35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 x14ac:dyDescent="0.35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 x14ac:dyDescent="0.35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 x14ac:dyDescent="0.35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 x14ac:dyDescent="0.35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 x14ac:dyDescent="0.35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 x14ac:dyDescent="0.35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 x14ac:dyDescent="0.35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 x14ac:dyDescent="0.35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 x14ac:dyDescent="0.35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 x14ac:dyDescent="0.35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 x14ac:dyDescent="0.35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 x14ac:dyDescent="0.35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 x14ac:dyDescent="0.35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 x14ac:dyDescent="0.35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 x14ac:dyDescent="0.35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 x14ac:dyDescent="0.35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 x14ac:dyDescent="0.35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 x14ac:dyDescent="0.35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 x14ac:dyDescent="0.35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 x14ac:dyDescent="0.35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 x14ac:dyDescent="0.35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 x14ac:dyDescent="0.35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 x14ac:dyDescent="0.35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 x14ac:dyDescent="0.35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 x14ac:dyDescent="0.35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 x14ac:dyDescent="0.35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 x14ac:dyDescent="0.35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 x14ac:dyDescent="0.35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 x14ac:dyDescent="0.35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 x14ac:dyDescent="0.35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 x14ac:dyDescent="0.35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 x14ac:dyDescent="0.35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 x14ac:dyDescent="0.35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 x14ac:dyDescent="0.35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 x14ac:dyDescent="0.35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 x14ac:dyDescent="0.35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 x14ac:dyDescent="0.35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 x14ac:dyDescent="0.35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 x14ac:dyDescent="0.35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 x14ac:dyDescent="0.35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 x14ac:dyDescent="0.35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 x14ac:dyDescent="0.35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 x14ac:dyDescent="0.35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 x14ac:dyDescent="0.35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 x14ac:dyDescent="0.35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 x14ac:dyDescent="0.35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 x14ac:dyDescent="0.35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 x14ac:dyDescent="0.35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 x14ac:dyDescent="0.35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 x14ac:dyDescent="0.35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 x14ac:dyDescent="0.35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 x14ac:dyDescent="0.35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 x14ac:dyDescent="0.35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 x14ac:dyDescent="0.35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 x14ac:dyDescent="0.35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 x14ac:dyDescent="0.35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 x14ac:dyDescent="0.35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 x14ac:dyDescent="0.35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 x14ac:dyDescent="0.35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 x14ac:dyDescent="0.35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 x14ac:dyDescent="0.35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 x14ac:dyDescent="0.35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 x14ac:dyDescent="0.35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 x14ac:dyDescent="0.35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 x14ac:dyDescent="0.35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 x14ac:dyDescent="0.35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 x14ac:dyDescent="0.35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 x14ac:dyDescent="0.35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 x14ac:dyDescent="0.35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 x14ac:dyDescent="0.35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 x14ac:dyDescent="0.35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 x14ac:dyDescent="0.35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 x14ac:dyDescent="0.35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 x14ac:dyDescent="0.35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 x14ac:dyDescent="0.35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 x14ac:dyDescent="0.35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 x14ac:dyDescent="0.35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 x14ac:dyDescent="0.35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 x14ac:dyDescent="0.35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 x14ac:dyDescent="0.35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 x14ac:dyDescent="0.35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 x14ac:dyDescent="0.35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 x14ac:dyDescent="0.35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 x14ac:dyDescent="0.35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 x14ac:dyDescent="0.35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 x14ac:dyDescent="0.35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 x14ac:dyDescent="0.35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 x14ac:dyDescent="0.35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 x14ac:dyDescent="0.35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 x14ac:dyDescent="0.35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 x14ac:dyDescent="0.35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 x14ac:dyDescent="0.35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 x14ac:dyDescent="0.35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 x14ac:dyDescent="0.35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 x14ac:dyDescent="0.35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 x14ac:dyDescent="0.35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 x14ac:dyDescent="0.35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 x14ac:dyDescent="0.35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 x14ac:dyDescent="0.35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 x14ac:dyDescent="0.35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 x14ac:dyDescent="0.35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 x14ac:dyDescent="0.35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 x14ac:dyDescent="0.35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 x14ac:dyDescent="0.35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 x14ac:dyDescent="0.35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 x14ac:dyDescent="0.35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 x14ac:dyDescent="0.35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 x14ac:dyDescent="0.35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 x14ac:dyDescent="0.35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 x14ac:dyDescent="0.35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 x14ac:dyDescent="0.35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 x14ac:dyDescent="0.35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 x14ac:dyDescent="0.35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 x14ac:dyDescent="0.35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 x14ac:dyDescent="0.35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 x14ac:dyDescent="0.35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 x14ac:dyDescent="0.35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 x14ac:dyDescent="0.35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 x14ac:dyDescent="0.35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 x14ac:dyDescent="0.35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 x14ac:dyDescent="0.35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 x14ac:dyDescent="0.35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 x14ac:dyDescent="0.35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 x14ac:dyDescent="0.35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 x14ac:dyDescent="0.35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 x14ac:dyDescent="0.35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 x14ac:dyDescent="0.35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 x14ac:dyDescent="0.35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 x14ac:dyDescent="0.35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 x14ac:dyDescent="0.35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 x14ac:dyDescent="0.35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 x14ac:dyDescent="0.35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 x14ac:dyDescent="0.35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 x14ac:dyDescent="0.35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 x14ac:dyDescent="0.35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 x14ac:dyDescent="0.35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 x14ac:dyDescent="0.35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 x14ac:dyDescent="0.35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 x14ac:dyDescent="0.35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 x14ac:dyDescent="0.35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 x14ac:dyDescent="0.35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 x14ac:dyDescent="0.35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 x14ac:dyDescent="0.35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 x14ac:dyDescent="0.35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 x14ac:dyDescent="0.35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 x14ac:dyDescent="0.35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 x14ac:dyDescent="0.35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 x14ac:dyDescent="0.35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 x14ac:dyDescent="0.35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 x14ac:dyDescent="0.35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 x14ac:dyDescent="0.35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 x14ac:dyDescent="0.35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 x14ac:dyDescent="0.35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 x14ac:dyDescent="0.35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 x14ac:dyDescent="0.35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 x14ac:dyDescent="0.35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 x14ac:dyDescent="0.35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 x14ac:dyDescent="0.35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 x14ac:dyDescent="0.35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 x14ac:dyDescent="0.35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 x14ac:dyDescent="0.35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 x14ac:dyDescent="0.35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 x14ac:dyDescent="0.35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 x14ac:dyDescent="0.35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 x14ac:dyDescent="0.35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 x14ac:dyDescent="0.35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 x14ac:dyDescent="0.35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 x14ac:dyDescent="0.35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 x14ac:dyDescent="0.35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 x14ac:dyDescent="0.35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 x14ac:dyDescent="0.35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 x14ac:dyDescent="0.35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 x14ac:dyDescent="0.35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 x14ac:dyDescent="0.35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 x14ac:dyDescent="0.35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 x14ac:dyDescent="0.35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 x14ac:dyDescent="0.35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 x14ac:dyDescent="0.35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 x14ac:dyDescent="0.35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 x14ac:dyDescent="0.35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 x14ac:dyDescent="0.35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 x14ac:dyDescent="0.35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 x14ac:dyDescent="0.35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 x14ac:dyDescent="0.35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 x14ac:dyDescent="0.35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 x14ac:dyDescent="0.35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 x14ac:dyDescent="0.35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 x14ac:dyDescent="0.35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 x14ac:dyDescent="0.35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 x14ac:dyDescent="0.35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 x14ac:dyDescent="0.35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 x14ac:dyDescent="0.35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 x14ac:dyDescent="0.35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 x14ac:dyDescent="0.35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 x14ac:dyDescent="0.35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 x14ac:dyDescent="0.35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 x14ac:dyDescent="0.35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 x14ac:dyDescent="0.35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 x14ac:dyDescent="0.35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 x14ac:dyDescent="0.35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 x14ac:dyDescent="0.35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 x14ac:dyDescent="0.35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 x14ac:dyDescent="0.35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 x14ac:dyDescent="0.35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 x14ac:dyDescent="0.35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 x14ac:dyDescent="0.35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 x14ac:dyDescent="0.35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 x14ac:dyDescent="0.35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 x14ac:dyDescent="0.35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 x14ac:dyDescent="0.35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 x14ac:dyDescent="0.35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 x14ac:dyDescent="0.35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 x14ac:dyDescent="0.35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 x14ac:dyDescent="0.35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 x14ac:dyDescent="0.35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 x14ac:dyDescent="0.35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 x14ac:dyDescent="0.35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 x14ac:dyDescent="0.35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 x14ac:dyDescent="0.35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 x14ac:dyDescent="0.35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 x14ac:dyDescent="0.35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 x14ac:dyDescent="0.35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 x14ac:dyDescent="0.35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 x14ac:dyDescent="0.35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 x14ac:dyDescent="0.35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 x14ac:dyDescent="0.35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 x14ac:dyDescent="0.35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 x14ac:dyDescent="0.35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 x14ac:dyDescent="0.35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 x14ac:dyDescent="0.35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 x14ac:dyDescent="0.35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 x14ac:dyDescent="0.35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 x14ac:dyDescent="0.35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 x14ac:dyDescent="0.35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 x14ac:dyDescent="0.35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 x14ac:dyDescent="0.35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 x14ac:dyDescent="0.35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 x14ac:dyDescent="0.35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 x14ac:dyDescent="0.35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 x14ac:dyDescent="0.35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 x14ac:dyDescent="0.35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 x14ac:dyDescent="0.35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 x14ac:dyDescent="0.35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 x14ac:dyDescent="0.35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 x14ac:dyDescent="0.35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 x14ac:dyDescent="0.35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 x14ac:dyDescent="0.35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 x14ac:dyDescent="0.35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 x14ac:dyDescent="0.35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 x14ac:dyDescent="0.35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 x14ac:dyDescent="0.35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 x14ac:dyDescent="0.35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 x14ac:dyDescent="0.35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 x14ac:dyDescent="0.35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 x14ac:dyDescent="0.35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 x14ac:dyDescent="0.35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 x14ac:dyDescent="0.35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 x14ac:dyDescent="0.35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 x14ac:dyDescent="0.35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 x14ac:dyDescent="0.35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 x14ac:dyDescent="0.35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 x14ac:dyDescent="0.35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 x14ac:dyDescent="0.35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 x14ac:dyDescent="0.35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 x14ac:dyDescent="0.35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 x14ac:dyDescent="0.35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 x14ac:dyDescent="0.35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 x14ac:dyDescent="0.35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 x14ac:dyDescent="0.35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 x14ac:dyDescent="0.35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 x14ac:dyDescent="0.35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 x14ac:dyDescent="0.35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 x14ac:dyDescent="0.35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 x14ac:dyDescent="0.35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 x14ac:dyDescent="0.35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 x14ac:dyDescent="0.35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 x14ac:dyDescent="0.35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 x14ac:dyDescent="0.35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 x14ac:dyDescent="0.35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 x14ac:dyDescent="0.35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 x14ac:dyDescent="0.35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 x14ac:dyDescent="0.35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 x14ac:dyDescent="0.35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 x14ac:dyDescent="0.35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 x14ac:dyDescent="0.35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 x14ac:dyDescent="0.35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 x14ac:dyDescent="0.35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 x14ac:dyDescent="0.35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 x14ac:dyDescent="0.35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 x14ac:dyDescent="0.35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 x14ac:dyDescent="0.35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 x14ac:dyDescent="0.35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 x14ac:dyDescent="0.35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 x14ac:dyDescent="0.35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 x14ac:dyDescent="0.35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 x14ac:dyDescent="0.35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 x14ac:dyDescent="0.35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 x14ac:dyDescent="0.35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 x14ac:dyDescent="0.35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 x14ac:dyDescent="0.35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 x14ac:dyDescent="0.35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 x14ac:dyDescent="0.35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 x14ac:dyDescent="0.35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 x14ac:dyDescent="0.35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 x14ac:dyDescent="0.35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 x14ac:dyDescent="0.35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 x14ac:dyDescent="0.35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 x14ac:dyDescent="0.35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 x14ac:dyDescent="0.35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 x14ac:dyDescent="0.35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 x14ac:dyDescent="0.35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 x14ac:dyDescent="0.35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 x14ac:dyDescent="0.35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 x14ac:dyDescent="0.35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 x14ac:dyDescent="0.35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 x14ac:dyDescent="0.35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 x14ac:dyDescent="0.35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 x14ac:dyDescent="0.35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 x14ac:dyDescent="0.35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 x14ac:dyDescent="0.35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 x14ac:dyDescent="0.35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 x14ac:dyDescent="0.35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 x14ac:dyDescent="0.35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 x14ac:dyDescent="0.35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 x14ac:dyDescent="0.35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 x14ac:dyDescent="0.35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 x14ac:dyDescent="0.35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 x14ac:dyDescent="0.35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 x14ac:dyDescent="0.35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 x14ac:dyDescent="0.35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 x14ac:dyDescent="0.35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 x14ac:dyDescent="0.35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 x14ac:dyDescent="0.35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 x14ac:dyDescent="0.35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 x14ac:dyDescent="0.35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 x14ac:dyDescent="0.35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 x14ac:dyDescent="0.35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 x14ac:dyDescent="0.35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 x14ac:dyDescent="0.35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 x14ac:dyDescent="0.35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 x14ac:dyDescent="0.35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 x14ac:dyDescent="0.35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 x14ac:dyDescent="0.35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 x14ac:dyDescent="0.35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 x14ac:dyDescent="0.35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 x14ac:dyDescent="0.35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 x14ac:dyDescent="0.35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 x14ac:dyDescent="0.35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 x14ac:dyDescent="0.35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 x14ac:dyDescent="0.35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 x14ac:dyDescent="0.35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 x14ac:dyDescent="0.35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 x14ac:dyDescent="0.35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 x14ac:dyDescent="0.35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 x14ac:dyDescent="0.35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 x14ac:dyDescent="0.35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 x14ac:dyDescent="0.35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 x14ac:dyDescent="0.35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 x14ac:dyDescent="0.35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 x14ac:dyDescent="0.35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 x14ac:dyDescent="0.35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 x14ac:dyDescent="0.35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 x14ac:dyDescent="0.35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 x14ac:dyDescent="0.35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 x14ac:dyDescent="0.35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 x14ac:dyDescent="0.35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 x14ac:dyDescent="0.35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 x14ac:dyDescent="0.35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 x14ac:dyDescent="0.35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 x14ac:dyDescent="0.35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 x14ac:dyDescent="0.35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 x14ac:dyDescent="0.35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 x14ac:dyDescent="0.35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 x14ac:dyDescent="0.35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 x14ac:dyDescent="0.35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 x14ac:dyDescent="0.35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 x14ac:dyDescent="0.35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 x14ac:dyDescent="0.35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 x14ac:dyDescent="0.35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 x14ac:dyDescent="0.35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 x14ac:dyDescent="0.35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 x14ac:dyDescent="0.35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 x14ac:dyDescent="0.35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 x14ac:dyDescent="0.35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 x14ac:dyDescent="0.35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 x14ac:dyDescent="0.35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 x14ac:dyDescent="0.35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 x14ac:dyDescent="0.35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 x14ac:dyDescent="0.35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 x14ac:dyDescent="0.35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 x14ac:dyDescent="0.35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 x14ac:dyDescent="0.35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 x14ac:dyDescent="0.35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 x14ac:dyDescent="0.35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 x14ac:dyDescent="0.35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 x14ac:dyDescent="0.35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 x14ac:dyDescent="0.35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 x14ac:dyDescent="0.35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 x14ac:dyDescent="0.35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 x14ac:dyDescent="0.35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 x14ac:dyDescent="0.35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 x14ac:dyDescent="0.35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 x14ac:dyDescent="0.35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 x14ac:dyDescent="0.35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 x14ac:dyDescent="0.35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 x14ac:dyDescent="0.35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 x14ac:dyDescent="0.35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 x14ac:dyDescent="0.35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 x14ac:dyDescent="0.35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 x14ac:dyDescent="0.35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 x14ac:dyDescent="0.35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 x14ac:dyDescent="0.35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 x14ac:dyDescent="0.35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 x14ac:dyDescent="0.35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 x14ac:dyDescent="0.35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 x14ac:dyDescent="0.35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 x14ac:dyDescent="0.35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 x14ac:dyDescent="0.35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 x14ac:dyDescent="0.35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 x14ac:dyDescent="0.35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 x14ac:dyDescent="0.35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 x14ac:dyDescent="0.35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 x14ac:dyDescent="0.35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 x14ac:dyDescent="0.35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 x14ac:dyDescent="0.35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 x14ac:dyDescent="0.35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 x14ac:dyDescent="0.35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 x14ac:dyDescent="0.35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 x14ac:dyDescent="0.35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 x14ac:dyDescent="0.35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 x14ac:dyDescent="0.35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 x14ac:dyDescent="0.35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 x14ac:dyDescent="0.35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 x14ac:dyDescent="0.35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 x14ac:dyDescent="0.35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 x14ac:dyDescent="0.35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 x14ac:dyDescent="0.35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 x14ac:dyDescent="0.35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 x14ac:dyDescent="0.35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 x14ac:dyDescent="0.35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 x14ac:dyDescent="0.35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 x14ac:dyDescent="0.35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 x14ac:dyDescent="0.35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 x14ac:dyDescent="0.35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 x14ac:dyDescent="0.35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 x14ac:dyDescent="0.35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 x14ac:dyDescent="0.35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 x14ac:dyDescent="0.35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 x14ac:dyDescent="0.35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 x14ac:dyDescent="0.35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 x14ac:dyDescent="0.35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 x14ac:dyDescent="0.35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 x14ac:dyDescent="0.35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 x14ac:dyDescent="0.35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 x14ac:dyDescent="0.35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 x14ac:dyDescent="0.35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 x14ac:dyDescent="0.35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 x14ac:dyDescent="0.35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 x14ac:dyDescent="0.35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 x14ac:dyDescent="0.35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 x14ac:dyDescent="0.35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 x14ac:dyDescent="0.35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 x14ac:dyDescent="0.35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 x14ac:dyDescent="0.35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 x14ac:dyDescent="0.35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 x14ac:dyDescent="0.35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 x14ac:dyDescent="0.35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 x14ac:dyDescent="0.35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 x14ac:dyDescent="0.35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 x14ac:dyDescent="0.35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 x14ac:dyDescent="0.35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 x14ac:dyDescent="0.35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 x14ac:dyDescent="0.35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 x14ac:dyDescent="0.35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 x14ac:dyDescent="0.35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 x14ac:dyDescent="0.35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 x14ac:dyDescent="0.35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 x14ac:dyDescent="0.35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 x14ac:dyDescent="0.35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 x14ac:dyDescent="0.35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 x14ac:dyDescent="0.35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 x14ac:dyDescent="0.35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 x14ac:dyDescent="0.35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 x14ac:dyDescent="0.35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 x14ac:dyDescent="0.35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 x14ac:dyDescent="0.35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 x14ac:dyDescent="0.35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 x14ac:dyDescent="0.35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 x14ac:dyDescent="0.35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 x14ac:dyDescent="0.35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 x14ac:dyDescent="0.35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 x14ac:dyDescent="0.35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 x14ac:dyDescent="0.35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 x14ac:dyDescent="0.35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 x14ac:dyDescent="0.35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 x14ac:dyDescent="0.35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 x14ac:dyDescent="0.35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 x14ac:dyDescent="0.35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 x14ac:dyDescent="0.35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 x14ac:dyDescent="0.35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 x14ac:dyDescent="0.35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 x14ac:dyDescent="0.35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 x14ac:dyDescent="0.35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 x14ac:dyDescent="0.35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 x14ac:dyDescent="0.35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 x14ac:dyDescent="0.35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 x14ac:dyDescent="0.35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 x14ac:dyDescent="0.35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 x14ac:dyDescent="0.35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 x14ac:dyDescent="0.35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 x14ac:dyDescent="0.35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 x14ac:dyDescent="0.35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 x14ac:dyDescent="0.35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 x14ac:dyDescent="0.35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 x14ac:dyDescent="0.35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 x14ac:dyDescent="0.35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 x14ac:dyDescent="0.35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 x14ac:dyDescent="0.35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 x14ac:dyDescent="0.35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 x14ac:dyDescent="0.35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 x14ac:dyDescent="0.35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 x14ac:dyDescent="0.35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 x14ac:dyDescent="0.35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 x14ac:dyDescent="0.35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 x14ac:dyDescent="0.35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 x14ac:dyDescent="0.35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 x14ac:dyDescent="0.35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 x14ac:dyDescent="0.35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 x14ac:dyDescent="0.35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 x14ac:dyDescent="0.35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 x14ac:dyDescent="0.35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 x14ac:dyDescent="0.35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 x14ac:dyDescent="0.35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 x14ac:dyDescent="0.35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 x14ac:dyDescent="0.35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 x14ac:dyDescent="0.35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 x14ac:dyDescent="0.35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 x14ac:dyDescent="0.35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 x14ac:dyDescent="0.35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 x14ac:dyDescent="0.35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 x14ac:dyDescent="0.35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 x14ac:dyDescent="0.35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 x14ac:dyDescent="0.35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 x14ac:dyDescent="0.35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 x14ac:dyDescent="0.35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 x14ac:dyDescent="0.35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 x14ac:dyDescent="0.35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 x14ac:dyDescent="0.35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 x14ac:dyDescent="0.35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 x14ac:dyDescent="0.35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 x14ac:dyDescent="0.35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 x14ac:dyDescent="0.35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 x14ac:dyDescent="0.35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 x14ac:dyDescent="0.35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 x14ac:dyDescent="0.35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 x14ac:dyDescent="0.35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 x14ac:dyDescent="0.35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 x14ac:dyDescent="0.35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 x14ac:dyDescent="0.35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 x14ac:dyDescent="0.35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 x14ac:dyDescent="0.35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 x14ac:dyDescent="0.35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 x14ac:dyDescent="0.35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 x14ac:dyDescent="0.35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 x14ac:dyDescent="0.35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 x14ac:dyDescent="0.35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 x14ac:dyDescent="0.35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 x14ac:dyDescent="0.35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 x14ac:dyDescent="0.35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 x14ac:dyDescent="0.35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 x14ac:dyDescent="0.35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 x14ac:dyDescent="0.35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 x14ac:dyDescent="0.35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 x14ac:dyDescent="0.35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 x14ac:dyDescent="0.35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 x14ac:dyDescent="0.35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 x14ac:dyDescent="0.35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 x14ac:dyDescent="0.35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 x14ac:dyDescent="0.35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 x14ac:dyDescent="0.35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 x14ac:dyDescent="0.35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 x14ac:dyDescent="0.35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 x14ac:dyDescent="0.35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 x14ac:dyDescent="0.35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 x14ac:dyDescent="0.35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 x14ac:dyDescent="0.35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 x14ac:dyDescent="0.35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 x14ac:dyDescent="0.35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 x14ac:dyDescent="0.35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 x14ac:dyDescent="0.35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 x14ac:dyDescent="0.35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 x14ac:dyDescent="0.35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 x14ac:dyDescent="0.35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 x14ac:dyDescent="0.35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 x14ac:dyDescent="0.35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 x14ac:dyDescent="0.35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 x14ac:dyDescent="0.35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 x14ac:dyDescent="0.35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 x14ac:dyDescent="0.35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 x14ac:dyDescent="0.35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 x14ac:dyDescent="0.35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 x14ac:dyDescent="0.35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 x14ac:dyDescent="0.35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 x14ac:dyDescent="0.35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 x14ac:dyDescent="0.35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 x14ac:dyDescent="0.35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 x14ac:dyDescent="0.35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 x14ac:dyDescent="0.35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 x14ac:dyDescent="0.35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 x14ac:dyDescent="0.35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 x14ac:dyDescent="0.35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 x14ac:dyDescent="0.35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 x14ac:dyDescent="0.35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 x14ac:dyDescent="0.35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 x14ac:dyDescent="0.35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 x14ac:dyDescent="0.35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 x14ac:dyDescent="0.35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 x14ac:dyDescent="0.35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 x14ac:dyDescent="0.35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 x14ac:dyDescent="0.35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 x14ac:dyDescent="0.35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 x14ac:dyDescent="0.35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 x14ac:dyDescent="0.35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 x14ac:dyDescent="0.35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 x14ac:dyDescent="0.35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 x14ac:dyDescent="0.35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 x14ac:dyDescent="0.35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 x14ac:dyDescent="0.35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 x14ac:dyDescent="0.35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 x14ac:dyDescent="0.35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 x14ac:dyDescent="0.35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 x14ac:dyDescent="0.35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 x14ac:dyDescent="0.35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 x14ac:dyDescent="0.35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 x14ac:dyDescent="0.35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 x14ac:dyDescent="0.35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 x14ac:dyDescent="0.35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 x14ac:dyDescent="0.35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 x14ac:dyDescent="0.35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 x14ac:dyDescent="0.35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 x14ac:dyDescent="0.35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 x14ac:dyDescent="0.35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 x14ac:dyDescent="0.35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 x14ac:dyDescent="0.35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 x14ac:dyDescent="0.35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 x14ac:dyDescent="0.35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 x14ac:dyDescent="0.35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 x14ac:dyDescent="0.35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 x14ac:dyDescent="0.35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 x14ac:dyDescent="0.35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 x14ac:dyDescent="0.35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 x14ac:dyDescent="0.35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 x14ac:dyDescent="0.35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 x14ac:dyDescent="0.35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 x14ac:dyDescent="0.35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 x14ac:dyDescent="0.35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 x14ac:dyDescent="0.35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 x14ac:dyDescent="0.35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 x14ac:dyDescent="0.35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 x14ac:dyDescent="0.35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 x14ac:dyDescent="0.35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 x14ac:dyDescent="0.35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 x14ac:dyDescent="0.35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 x14ac:dyDescent="0.35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 x14ac:dyDescent="0.35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 x14ac:dyDescent="0.35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 x14ac:dyDescent="0.35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 x14ac:dyDescent="0.35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 x14ac:dyDescent="0.35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 x14ac:dyDescent="0.35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 x14ac:dyDescent="0.35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 x14ac:dyDescent="0.35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 x14ac:dyDescent="0.35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 x14ac:dyDescent="0.35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 x14ac:dyDescent="0.35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 x14ac:dyDescent="0.35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 x14ac:dyDescent="0.35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 x14ac:dyDescent="0.35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 x14ac:dyDescent="0.35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 x14ac:dyDescent="0.35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 x14ac:dyDescent="0.35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 x14ac:dyDescent="0.35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 x14ac:dyDescent="0.35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 x14ac:dyDescent="0.35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 x14ac:dyDescent="0.35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 x14ac:dyDescent="0.35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 x14ac:dyDescent="0.35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 x14ac:dyDescent="0.35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 x14ac:dyDescent="0.35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 x14ac:dyDescent="0.35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 x14ac:dyDescent="0.35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 x14ac:dyDescent="0.35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 x14ac:dyDescent="0.35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 x14ac:dyDescent="0.35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 x14ac:dyDescent="0.35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 x14ac:dyDescent="0.35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 x14ac:dyDescent="0.35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 x14ac:dyDescent="0.35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 x14ac:dyDescent="0.35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 x14ac:dyDescent="0.35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 x14ac:dyDescent="0.35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 x14ac:dyDescent="0.35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 x14ac:dyDescent="0.35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 x14ac:dyDescent="0.35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 x14ac:dyDescent="0.35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 x14ac:dyDescent="0.35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 x14ac:dyDescent="0.35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 x14ac:dyDescent="0.35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 x14ac:dyDescent="0.35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 x14ac:dyDescent="0.35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 x14ac:dyDescent="0.35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 x14ac:dyDescent="0.35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 x14ac:dyDescent="0.35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 x14ac:dyDescent="0.35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 x14ac:dyDescent="0.35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 x14ac:dyDescent="0.35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 x14ac:dyDescent="0.35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 x14ac:dyDescent="0.35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 x14ac:dyDescent="0.35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 x14ac:dyDescent="0.35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 x14ac:dyDescent="0.35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 x14ac:dyDescent="0.35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 x14ac:dyDescent="0.35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 x14ac:dyDescent="0.35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 x14ac:dyDescent="0.35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 x14ac:dyDescent="0.35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 x14ac:dyDescent="0.35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 x14ac:dyDescent="0.35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 x14ac:dyDescent="0.35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 x14ac:dyDescent="0.35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 x14ac:dyDescent="0.35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 x14ac:dyDescent="0.35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 x14ac:dyDescent="0.35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 x14ac:dyDescent="0.35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 x14ac:dyDescent="0.35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 x14ac:dyDescent="0.35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 x14ac:dyDescent="0.35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 x14ac:dyDescent="0.35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 x14ac:dyDescent="0.35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 x14ac:dyDescent="0.35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 x14ac:dyDescent="0.35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 x14ac:dyDescent="0.35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 x14ac:dyDescent="0.35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 x14ac:dyDescent="0.35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 x14ac:dyDescent="0.35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 x14ac:dyDescent="0.35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 x14ac:dyDescent="0.35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 x14ac:dyDescent="0.35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 x14ac:dyDescent="0.35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 x14ac:dyDescent="0.35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 x14ac:dyDescent="0.35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 x14ac:dyDescent="0.35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 x14ac:dyDescent="0.35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 x14ac:dyDescent="0.35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 x14ac:dyDescent="0.35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 x14ac:dyDescent="0.35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 x14ac:dyDescent="0.35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 x14ac:dyDescent="0.35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 x14ac:dyDescent="0.35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 x14ac:dyDescent="0.35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 x14ac:dyDescent="0.35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 x14ac:dyDescent="0.35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 x14ac:dyDescent="0.35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 x14ac:dyDescent="0.35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 x14ac:dyDescent="0.35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 x14ac:dyDescent="0.35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 x14ac:dyDescent="0.35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 x14ac:dyDescent="0.35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 x14ac:dyDescent="0.35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 x14ac:dyDescent="0.35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 x14ac:dyDescent="0.35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 x14ac:dyDescent="0.35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 x14ac:dyDescent="0.35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 x14ac:dyDescent="0.35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 x14ac:dyDescent="0.35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 x14ac:dyDescent="0.35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 x14ac:dyDescent="0.35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 x14ac:dyDescent="0.35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 x14ac:dyDescent="0.35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 x14ac:dyDescent="0.35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 x14ac:dyDescent="0.35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 x14ac:dyDescent="0.35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 x14ac:dyDescent="0.35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 x14ac:dyDescent="0.35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 x14ac:dyDescent="0.35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 x14ac:dyDescent="0.35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 x14ac:dyDescent="0.35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 x14ac:dyDescent="0.35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 x14ac:dyDescent="0.35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 x14ac:dyDescent="0.35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 x14ac:dyDescent="0.35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 x14ac:dyDescent="0.35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 x14ac:dyDescent="0.35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 x14ac:dyDescent="0.35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 x14ac:dyDescent="0.35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 x14ac:dyDescent="0.35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 x14ac:dyDescent="0.35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 x14ac:dyDescent="0.35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 x14ac:dyDescent="0.35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 x14ac:dyDescent="0.35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 x14ac:dyDescent="0.35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 x14ac:dyDescent="0.35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 x14ac:dyDescent="0.35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 x14ac:dyDescent="0.35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 x14ac:dyDescent="0.35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 x14ac:dyDescent="0.35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 x14ac:dyDescent="0.35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 x14ac:dyDescent="0.35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 x14ac:dyDescent="0.35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 x14ac:dyDescent="0.35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 x14ac:dyDescent="0.35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 x14ac:dyDescent="0.35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 x14ac:dyDescent="0.35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 x14ac:dyDescent="0.35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 x14ac:dyDescent="0.35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 x14ac:dyDescent="0.35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 x14ac:dyDescent="0.35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 x14ac:dyDescent="0.35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 x14ac:dyDescent="0.35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 x14ac:dyDescent="0.35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 x14ac:dyDescent="0.35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 x14ac:dyDescent="0.35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 x14ac:dyDescent="0.35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 x14ac:dyDescent="0.35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 x14ac:dyDescent="0.35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 x14ac:dyDescent="0.35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 x14ac:dyDescent="0.35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 x14ac:dyDescent="0.35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 x14ac:dyDescent="0.35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 x14ac:dyDescent="0.35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 x14ac:dyDescent="0.35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 x14ac:dyDescent="0.35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 x14ac:dyDescent="0.35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 x14ac:dyDescent="0.35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 x14ac:dyDescent="0.35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 x14ac:dyDescent="0.35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 x14ac:dyDescent="0.35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 x14ac:dyDescent="0.35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 x14ac:dyDescent="0.35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 x14ac:dyDescent="0.35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 x14ac:dyDescent="0.35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 x14ac:dyDescent="0.35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 x14ac:dyDescent="0.35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 x14ac:dyDescent="0.35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 x14ac:dyDescent="0.35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 x14ac:dyDescent="0.35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 x14ac:dyDescent="0.35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 x14ac:dyDescent="0.35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 x14ac:dyDescent="0.35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 x14ac:dyDescent="0.35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 x14ac:dyDescent="0.35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 x14ac:dyDescent="0.35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 x14ac:dyDescent="0.35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 x14ac:dyDescent="0.35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 x14ac:dyDescent="0.35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 x14ac:dyDescent="0.35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 x14ac:dyDescent="0.35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 x14ac:dyDescent="0.35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 x14ac:dyDescent="0.35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 x14ac:dyDescent="0.35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 x14ac:dyDescent="0.35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 x14ac:dyDescent="0.35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 x14ac:dyDescent="0.35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 x14ac:dyDescent="0.35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 x14ac:dyDescent="0.35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 x14ac:dyDescent="0.35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 x14ac:dyDescent="0.35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 x14ac:dyDescent="0.35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 x14ac:dyDescent="0.35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 x14ac:dyDescent="0.35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 x14ac:dyDescent="0.35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 x14ac:dyDescent="0.35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 x14ac:dyDescent="0.35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 x14ac:dyDescent="0.35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 x14ac:dyDescent="0.35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 x14ac:dyDescent="0.35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 x14ac:dyDescent="0.35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 x14ac:dyDescent="0.35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 x14ac:dyDescent="0.35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 x14ac:dyDescent="0.35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 x14ac:dyDescent="0.35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 x14ac:dyDescent="0.35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 x14ac:dyDescent="0.35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 x14ac:dyDescent="0.35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 x14ac:dyDescent="0.35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 x14ac:dyDescent="0.35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 x14ac:dyDescent="0.35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 x14ac:dyDescent="0.35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 x14ac:dyDescent="0.35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 x14ac:dyDescent="0.35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 x14ac:dyDescent="0.35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 x14ac:dyDescent="0.35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 x14ac:dyDescent="0.35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 x14ac:dyDescent="0.35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 x14ac:dyDescent="0.35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 x14ac:dyDescent="0.35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 x14ac:dyDescent="0.35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 x14ac:dyDescent="0.35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 x14ac:dyDescent="0.35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 x14ac:dyDescent="0.35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 x14ac:dyDescent="0.35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 x14ac:dyDescent="0.35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 x14ac:dyDescent="0.35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 x14ac:dyDescent="0.35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 x14ac:dyDescent="0.35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 x14ac:dyDescent="0.35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 x14ac:dyDescent="0.35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 x14ac:dyDescent="0.35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 x14ac:dyDescent="0.35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 x14ac:dyDescent="0.35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 x14ac:dyDescent="0.35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 x14ac:dyDescent="0.35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 x14ac:dyDescent="0.35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 x14ac:dyDescent="0.35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 x14ac:dyDescent="0.35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 x14ac:dyDescent="0.35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 x14ac:dyDescent="0.35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 x14ac:dyDescent="0.35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 x14ac:dyDescent="0.35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 x14ac:dyDescent="0.35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 x14ac:dyDescent="0.35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 x14ac:dyDescent="0.35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 x14ac:dyDescent="0.35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 x14ac:dyDescent="0.35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 x14ac:dyDescent="0.35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 x14ac:dyDescent="0.35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 x14ac:dyDescent="0.35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 x14ac:dyDescent="0.35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 x14ac:dyDescent="0.35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 x14ac:dyDescent="0.35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 x14ac:dyDescent="0.35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 x14ac:dyDescent="0.35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 x14ac:dyDescent="0.35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 x14ac:dyDescent="0.35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 x14ac:dyDescent="0.35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 x14ac:dyDescent="0.35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 x14ac:dyDescent="0.35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 x14ac:dyDescent="0.35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 x14ac:dyDescent="0.35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 x14ac:dyDescent="0.35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 x14ac:dyDescent="0.35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 x14ac:dyDescent="0.35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 x14ac:dyDescent="0.35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 x14ac:dyDescent="0.35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 x14ac:dyDescent="0.35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 x14ac:dyDescent="0.35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 x14ac:dyDescent="0.35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 x14ac:dyDescent="0.35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 x14ac:dyDescent="0.35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 x14ac:dyDescent="0.35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 x14ac:dyDescent="0.35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 x14ac:dyDescent="0.35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 x14ac:dyDescent="0.35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 x14ac:dyDescent="0.35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 x14ac:dyDescent="0.35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 x14ac:dyDescent="0.35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 x14ac:dyDescent="0.35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 x14ac:dyDescent="0.35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 x14ac:dyDescent="0.35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 x14ac:dyDescent="0.35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 x14ac:dyDescent="0.35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 x14ac:dyDescent="0.35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 x14ac:dyDescent="0.35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 x14ac:dyDescent="0.35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 x14ac:dyDescent="0.35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 x14ac:dyDescent="0.35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 x14ac:dyDescent="0.35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 x14ac:dyDescent="0.35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 x14ac:dyDescent="0.35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 x14ac:dyDescent="0.35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 x14ac:dyDescent="0.35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 x14ac:dyDescent="0.35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 x14ac:dyDescent="0.35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 x14ac:dyDescent="0.35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 x14ac:dyDescent="0.35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 x14ac:dyDescent="0.35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 x14ac:dyDescent="0.35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 x14ac:dyDescent="0.35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 x14ac:dyDescent="0.35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 x14ac:dyDescent="0.35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 x14ac:dyDescent="0.35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 x14ac:dyDescent="0.35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 x14ac:dyDescent="0.35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 x14ac:dyDescent="0.35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 x14ac:dyDescent="0.35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 x14ac:dyDescent="0.35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 x14ac:dyDescent="0.35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 x14ac:dyDescent="0.35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 x14ac:dyDescent="0.35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 x14ac:dyDescent="0.35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 x14ac:dyDescent="0.35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 x14ac:dyDescent="0.35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 x14ac:dyDescent="0.35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 x14ac:dyDescent="0.35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 x14ac:dyDescent="0.35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 x14ac:dyDescent="0.35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 x14ac:dyDescent="0.35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 x14ac:dyDescent="0.35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 x14ac:dyDescent="0.35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 x14ac:dyDescent="0.35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 x14ac:dyDescent="0.35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 x14ac:dyDescent="0.35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 x14ac:dyDescent="0.35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 x14ac:dyDescent="0.35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 x14ac:dyDescent="0.35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 x14ac:dyDescent="0.35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 x14ac:dyDescent="0.35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 x14ac:dyDescent="0.35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 x14ac:dyDescent="0.35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 x14ac:dyDescent="0.35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 x14ac:dyDescent="0.35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 x14ac:dyDescent="0.35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 x14ac:dyDescent="0.35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 x14ac:dyDescent="0.35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 x14ac:dyDescent="0.35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 x14ac:dyDescent="0.35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 x14ac:dyDescent="0.35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 x14ac:dyDescent="0.35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 x14ac:dyDescent="0.35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 x14ac:dyDescent="0.35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 x14ac:dyDescent="0.35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 x14ac:dyDescent="0.35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 x14ac:dyDescent="0.35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 x14ac:dyDescent="0.35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 x14ac:dyDescent="0.35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 x14ac:dyDescent="0.35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 x14ac:dyDescent="0.35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 x14ac:dyDescent="0.35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 x14ac:dyDescent="0.35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 x14ac:dyDescent="0.35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 x14ac:dyDescent="0.35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 x14ac:dyDescent="0.35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 x14ac:dyDescent="0.35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 x14ac:dyDescent="0.35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 x14ac:dyDescent="0.35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 x14ac:dyDescent="0.35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 x14ac:dyDescent="0.35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 x14ac:dyDescent="0.35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 x14ac:dyDescent="0.35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 x14ac:dyDescent="0.35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 x14ac:dyDescent="0.35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 x14ac:dyDescent="0.35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 x14ac:dyDescent="0.35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 x14ac:dyDescent="0.35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 x14ac:dyDescent="0.35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 x14ac:dyDescent="0.35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 x14ac:dyDescent="0.35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 x14ac:dyDescent="0.35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 x14ac:dyDescent="0.35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 x14ac:dyDescent="0.35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 x14ac:dyDescent="0.35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 x14ac:dyDescent="0.35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 x14ac:dyDescent="0.35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 x14ac:dyDescent="0.35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 x14ac:dyDescent="0.35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 x14ac:dyDescent="0.35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 x14ac:dyDescent="0.35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 x14ac:dyDescent="0.35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 x14ac:dyDescent="0.35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 x14ac:dyDescent="0.35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 x14ac:dyDescent="0.35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 x14ac:dyDescent="0.35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 x14ac:dyDescent="0.35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 x14ac:dyDescent="0.35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 x14ac:dyDescent="0.35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 x14ac:dyDescent="0.35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 x14ac:dyDescent="0.35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 x14ac:dyDescent="0.35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 x14ac:dyDescent="0.35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 x14ac:dyDescent="0.35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 x14ac:dyDescent="0.35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 x14ac:dyDescent="0.35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 x14ac:dyDescent="0.35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 x14ac:dyDescent="0.35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 x14ac:dyDescent="0.35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 x14ac:dyDescent="0.35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 x14ac:dyDescent="0.35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 x14ac:dyDescent="0.35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 x14ac:dyDescent="0.35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 x14ac:dyDescent="0.35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 x14ac:dyDescent="0.35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 x14ac:dyDescent="0.35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 x14ac:dyDescent="0.35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 x14ac:dyDescent="0.35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 x14ac:dyDescent="0.35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 x14ac:dyDescent="0.35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 x14ac:dyDescent="0.35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 x14ac:dyDescent="0.35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 x14ac:dyDescent="0.35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 x14ac:dyDescent="0.35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 x14ac:dyDescent="0.35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 x14ac:dyDescent="0.35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 x14ac:dyDescent="0.35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 x14ac:dyDescent="0.35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 x14ac:dyDescent="0.35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 x14ac:dyDescent="0.35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 x14ac:dyDescent="0.35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 x14ac:dyDescent="0.35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 x14ac:dyDescent="0.35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 x14ac:dyDescent="0.35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 x14ac:dyDescent="0.35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 x14ac:dyDescent="0.35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 x14ac:dyDescent="0.35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 x14ac:dyDescent="0.35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 x14ac:dyDescent="0.35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 x14ac:dyDescent="0.35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 x14ac:dyDescent="0.35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 x14ac:dyDescent="0.35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 x14ac:dyDescent="0.35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 x14ac:dyDescent="0.35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 x14ac:dyDescent="0.35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 x14ac:dyDescent="0.35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 x14ac:dyDescent="0.35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 x14ac:dyDescent="0.35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 x14ac:dyDescent="0.35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 x14ac:dyDescent="0.35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 x14ac:dyDescent="0.35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 x14ac:dyDescent="0.35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 x14ac:dyDescent="0.35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 x14ac:dyDescent="0.35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 x14ac:dyDescent="0.35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 x14ac:dyDescent="0.35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 x14ac:dyDescent="0.35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 x14ac:dyDescent="0.35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 x14ac:dyDescent="0.35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 x14ac:dyDescent="0.35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 x14ac:dyDescent="0.35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 x14ac:dyDescent="0.35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 x14ac:dyDescent="0.35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 x14ac:dyDescent="0.35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 x14ac:dyDescent="0.35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 x14ac:dyDescent="0.35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 x14ac:dyDescent="0.35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 x14ac:dyDescent="0.35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 x14ac:dyDescent="0.35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 x14ac:dyDescent="0.35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 x14ac:dyDescent="0.35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 x14ac:dyDescent="0.35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 x14ac:dyDescent="0.35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 x14ac:dyDescent="0.35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 x14ac:dyDescent="0.35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 x14ac:dyDescent="0.35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 x14ac:dyDescent="0.35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 x14ac:dyDescent="0.35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 x14ac:dyDescent="0.35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 x14ac:dyDescent="0.35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 x14ac:dyDescent="0.35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 x14ac:dyDescent="0.35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 x14ac:dyDescent="0.35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 x14ac:dyDescent="0.35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 x14ac:dyDescent="0.35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 x14ac:dyDescent="0.35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 x14ac:dyDescent="0.35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 x14ac:dyDescent="0.35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 x14ac:dyDescent="0.35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 x14ac:dyDescent="0.35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 x14ac:dyDescent="0.35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 x14ac:dyDescent="0.35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 x14ac:dyDescent="0.35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 x14ac:dyDescent="0.35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 x14ac:dyDescent="0.35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 x14ac:dyDescent="0.35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 x14ac:dyDescent="0.35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 x14ac:dyDescent="0.35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 x14ac:dyDescent="0.35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 x14ac:dyDescent="0.35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 x14ac:dyDescent="0.35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 x14ac:dyDescent="0.35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 x14ac:dyDescent="0.35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 x14ac:dyDescent="0.35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 x14ac:dyDescent="0.35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 x14ac:dyDescent="0.35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 x14ac:dyDescent="0.35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 x14ac:dyDescent="0.35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 x14ac:dyDescent="0.35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 x14ac:dyDescent="0.35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 x14ac:dyDescent="0.35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 x14ac:dyDescent="0.35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 x14ac:dyDescent="0.35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 x14ac:dyDescent="0.35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 x14ac:dyDescent="0.35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 x14ac:dyDescent="0.35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 x14ac:dyDescent="0.35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 x14ac:dyDescent="0.35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 x14ac:dyDescent="0.35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 x14ac:dyDescent="0.35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 x14ac:dyDescent="0.35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 x14ac:dyDescent="0.35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 x14ac:dyDescent="0.35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 x14ac:dyDescent="0.35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 x14ac:dyDescent="0.35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 x14ac:dyDescent="0.35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 x14ac:dyDescent="0.35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 x14ac:dyDescent="0.35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 x14ac:dyDescent="0.35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 x14ac:dyDescent="0.35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 x14ac:dyDescent="0.35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 x14ac:dyDescent="0.35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 x14ac:dyDescent="0.35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 x14ac:dyDescent="0.35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 x14ac:dyDescent="0.35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 x14ac:dyDescent="0.35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 x14ac:dyDescent="0.35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 x14ac:dyDescent="0.35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 x14ac:dyDescent="0.35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 x14ac:dyDescent="0.35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 x14ac:dyDescent="0.35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 x14ac:dyDescent="0.35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 x14ac:dyDescent="0.35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 x14ac:dyDescent="0.35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 x14ac:dyDescent="0.35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 x14ac:dyDescent="0.35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 x14ac:dyDescent="0.35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 x14ac:dyDescent="0.35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 x14ac:dyDescent="0.35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 x14ac:dyDescent="0.35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 x14ac:dyDescent="0.35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 x14ac:dyDescent="0.35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 x14ac:dyDescent="0.35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 x14ac:dyDescent="0.35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 x14ac:dyDescent="0.35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 x14ac:dyDescent="0.35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 x14ac:dyDescent="0.35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 x14ac:dyDescent="0.35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 x14ac:dyDescent="0.35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 x14ac:dyDescent="0.35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 x14ac:dyDescent="0.35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 x14ac:dyDescent="0.35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 x14ac:dyDescent="0.35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 x14ac:dyDescent="0.35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 x14ac:dyDescent="0.35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 x14ac:dyDescent="0.35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 x14ac:dyDescent="0.35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 x14ac:dyDescent="0.35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 x14ac:dyDescent="0.35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 x14ac:dyDescent="0.35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 x14ac:dyDescent="0.35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 x14ac:dyDescent="0.35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 x14ac:dyDescent="0.35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 x14ac:dyDescent="0.35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 x14ac:dyDescent="0.35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 x14ac:dyDescent="0.35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 x14ac:dyDescent="0.35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 x14ac:dyDescent="0.35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 x14ac:dyDescent="0.35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 x14ac:dyDescent="0.35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 x14ac:dyDescent="0.35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 x14ac:dyDescent="0.35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 x14ac:dyDescent="0.35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 x14ac:dyDescent="0.35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 x14ac:dyDescent="0.35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 x14ac:dyDescent="0.35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 x14ac:dyDescent="0.35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 x14ac:dyDescent="0.35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 x14ac:dyDescent="0.35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 x14ac:dyDescent="0.35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 x14ac:dyDescent="0.35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 x14ac:dyDescent="0.35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 x14ac:dyDescent="0.35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 x14ac:dyDescent="0.35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 x14ac:dyDescent="0.35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 x14ac:dyDescent="0.35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 x14ac:dyDescent="0.35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 x14ac:dyDescent="0.35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 x14ac:dyDescent="0.35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 x14ac:dyDescent="0.35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 x14ac:dyDescent="0.35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 x14ac:dyDescent="0.35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 x14ac:dyDescent="0.35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 x14ac:dyDescent="0.35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 x14ac:dyDescent="0.35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 x14ac:dyDescent="0.35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 x14ac:dyDescent="0.35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 x14ac:dyDescent="0.35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 x14ac:dyDescent="0.35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 x14ac:dyDescent="0.35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 x14ac:dyDescent="0.35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 x14ac:dyDescent="0.35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 x14ac:dyDescent="0.35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 x14ac:dyDescent="0.35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 x14ac:dyDescent="0.35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 x14ac:dyDescent="0.35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 x14ac:dyDescent="0.35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 x14ac:dyDescent="0.35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 x14ac:dyDescent="0.35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 x14ac:dyDescent="0.35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 x14ac:dyDescent="0.35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 x14ac:dyDescent="0.35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 x14ac:dyDescent="0.35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 x14ac:dyDescent="0.35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 x14ac:dyDescent="0.35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 x14ac:dyDescent="0.35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 x14ac:dyDescent="0.35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 x14ac:dyDescent="0.35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 x14ac:dyDescent="0.35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 x14ac:dyDescent="0.35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 x14ac:dyDescent="0.35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 x14ac:dyDescent="0.35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 x14ac:dyDescent="0.35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 x14ac:dyDescent="0.35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 x14ac:dyDescent="0.35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 x14ac:dyDescent="0.35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 x14ac:dyDescent="0.35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 x14ac:dyDescent="0.35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 x14ac:dyDescent="0.35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 x14ac:dyDescent="0.35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 x14ac:dyDescent="0.35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 x14ac:dyDescent="0.35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 x14ac:dyDescent="0.35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 x14ac:dyDescent="0.35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 x14ac:dyDescent="0.35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 x14ac:dyDescent="0.35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 x14ac:dyDescent="0.35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 x14ac:dyDescent="0.35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 x14ac:dyDescent="0.35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 x14ac:dyDescent="0.35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 x14ac:dyDescent="0.35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 x14ac:dyDescent="0.35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 x14ac:dyDescent="0.35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 x14ac:dyDescent="0.35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 x14ac:dyDescent="0.35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 x14ac:dyDescent="0.35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 x14ac:dyDescent="0.35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 x14ac:dyDescent="0.35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 x14ac:dyDescent="0.35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 x14ac:dyDescent="0.35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 x14ac:dyDescent="0.35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 x14ac:dyDescent="0.35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 x14ac:dyDescent="0.35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 x14ac:dyDescent="0.35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 x14ac:dyDescent="0.35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 x14ac:dyDescent="0.35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 x14ac:dyDescent="0.35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 x14ac:dyDescent="0.35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 x14ac:dyDescent="0.35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 x14ac:dyDescent="0.35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 x14ac:dyDescent="0.35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 x14ac:dyDescent="0.35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 x14ac:dyDescent="0.35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 x14ac:dyDescent="0.35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 x14ac:dyDescent="0.35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 x14ac:dyDescent="0.35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 x14ac:dyDescent="0.35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 x14ac:dyDescent="0.35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 x14ac:dyDescent="0.35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 x14ac:dyDescent="0.35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 x14ac:dyDescent="0.35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 x14ac:dyDescent="0.35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 x14ac:dyDescent="0.35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 x14ac:dyDescent="0.35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 x14ac:dyDescent="0.35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 x14ac:dyDescent="0.35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 x14ac:dyDescent="0.35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 x14ac:dyDescent="0.35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 x14ac:dyDescent="0.35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 x14ac:dyDescent="0.35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 x14ac:dyDescent="0.35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 x14ac:dyDescent="0.35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 x14ac:dyDescent="0.35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 x14ac:dyDescent="0.35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 x14ac:dyDescent="0.35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 x14ac:dyDescent="0.35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 x14ac:dyDescent="0.35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 x14ac:dyDescent="0.35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 x14ac:dyDescent="0.35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 x14ac:dyDescent="0.35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 x14ac:dyDescent="0.35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 x14ac:dyDescent="0.35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 x14ac:dyDescent="0.35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 x14ac:dyDescent="0.35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 x14ac:dyDescent="0.35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 x14ac:dyDescent="0.35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 x14ac:dyDescent="0.35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 x14ac:dyDescent="0.35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 x14ac:dyDescent="0.35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 x14ac:dyDescent="0.35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 x14ac:dyDescent="0.35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 x14ac:dyDescent="0.35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 x14ac:dyDescent="0.35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 x14ac:dyDescent="0.35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 x14ac:dyDescent="0.35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 x14ac:dyDescent="0.35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 x14ac:dyDescent="0.35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 x14ac:dyDescent="0.35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 x14ac:dyDescent="0.35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 x14ac:dyDescent="0.35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 x14ac:dyDescent="0.35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 x14ac:dyDescent="0.35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 x14ac:dyDescent="0.35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 x14ac:dyDescent="0.35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 x14ac:dyDescent="0.35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 x14ac:dyDescent="0.35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 x14ac:dyDescent="0.35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 x14ac:dyDescent="0.35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 x14ac:dyDescent="0.35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 x14ac:dyDescent="0.35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 x14ac:dyDescent="0.35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 x14ac:dyDescent="0.35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 x14ac:dyDescent="0.35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 x14ac:dyDescent="0.35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 x14ac:dyDescent="0.35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 x14ac:dyDescent="0.35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 x14ac:dyDescent="0.35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 x14ac:dyDescent="0.35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 x14ac:dyDescent="0.35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 x14ac:dyDescent="0.35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 x14ac:dyDescent="0.35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 x14ac:dyDescent="0.35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 x14ac:dyDescent="0.35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 x14ac:dyDescent="0.35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 x14ac:dyDescent="0.35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 x14ac:dyDescent="0.35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 x14ac:dyDescent="0.35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 x14ac:dyDescent="0.35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 x14ac:dyDescent="0.35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 x14ac:dyDescent="0.35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 x14ac:dyDescent="0.35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 x14ac:dyDescent="0.35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 x14ac:dyDescent="0.35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 x14ac:dyDescent="0.35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 x14ac:dyDescent="0.35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 x14ac:dyDescent="0.35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 x14ac:dyDescent="0.35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 x14ac:dyDescent="0.35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 x14ac:dyDescent="0.35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 x14ac:dyDescent="0.35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 x14ac:dyDescent="0.35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 x14ac:dyDescent="0.35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 x14ac:dyDescent="0.35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 x14ac:dyDescent="0.35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 x14ac:dyDescent="0.35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 x14ac:dyDescent="0.35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 x14ac:dyDescent="0.35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 x14ac:dyDescent="0.35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 x14ac:dyDescent="0.35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 x14ac:dyDescent="0.35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 x14ac:dyDescent="0.35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 x14ac:dyDescent="0.35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 x14ac:dyDescent="0.35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 x14ac:dyDescent="0.35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 x14ac:dyDescent="0.35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 x14ac:dyDescent="0.35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 x14ac:dyDescent="0.35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 x14ac:dyDescent="0.35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 x14ac:dyDescent="0.35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 x14ac:dyDescent="0.35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 x14ac:dyDescent="0.35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 x14ac:dyDescent="0.35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 x14ac:dyDescent="0.35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 x14ac:dyDescent="0.35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 x14ac:dyDescent="0.35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 x14ac:dyDescent="0.35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 x14ac:dyDescent="0.35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 x14ac:dyDescent="0.35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 x14ac:dyDescent="0.35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 x14ac:dyDescent="0.35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 x14ac:dyDescent="0.35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 x14ac:dyDescent="0.35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 x14ac:dyDescent="0.35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 x14ac:dyDescent="0.35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 x14ac:dyDescent="0.35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 x14ac:dyDescent="0.35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 x14ac:dyDescent="0.35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 x14ac:dyDescent="0.35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 x14ac:dyDescent="0.35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 x14ac:dyDescent="0.35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 x14ac:dyDescent="0.35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 x14ac:dyDescent="0.35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 x14ac:dyDescent="0.35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 x14ac:dyDescent="0.35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 x14ac:dyDescent="0.35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 x14ac:dyDescent="0.35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 x14ac:dyDescent="0.35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 x14ac:dyDescent="0.35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 x14ac:dyDescent="0.35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 x14ac:dyDescent="0.35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 x14ac:dyDescent="0.35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 x14ac:dyDescent="0.35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 x14ac:dyDescent="0.35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 x14ac:dyDescent="0.35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 x14ac:dyDescent="0.35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 x14ac:dyDescent="0.35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 x14ac:dyDescent="0.35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 x14ac:dyDescent="0.35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 x14ac:dyDescent="0.35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 x14ac:dyDescent="0.35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 x14ac:dyDescent="0.35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 x14ac:dyDescent="0.35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 x14ac:dyDescent="0.35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 x14ac:dyDescent="0.35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 x14ac:dyDescent="0.35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 x14ac:dyDescent="0.35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 x14ac:dyDescent="0.35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 x14ac:dyDescent="0.35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 x14ac:dyDescent="0.35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 x14ac:dyDescent="0.35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 x14ac:dyDescent="0.35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 x14ac:dyDescent="0.35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 x14ac:dyDescent="0.35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 x14ac:dyDescent="0.35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 x14ac:dyDescent="0.35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 x14ac:dyDescent="0.35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 x14ac:dyDescent="0.35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 x14ac:dyDescent="0.35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 x14ac:dyDescent="0.35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 x14ac:dyDescent="0.35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 x14ac:dyDescent="0.35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 x14ac:dyDescent="0.35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 x14ac:dyDescent="0.35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 x14ac:dyDescent="0.35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 x14ac:dyDescent="0.35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 x14ac:dyDescent="0.35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 x14ac:dyDescent="0.35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 x14ac:dyDescent="0.35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 x14ac:dyDescent="0.35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 x14ac:dyDescent="0.35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 x14ac:dyDescent="0.35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 x14ac:dyDescent="0.35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 x14ac:dyDescent="0.35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 x14ac:dyDescent="0.35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 x14ac:dyDescent="0.35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 x14ac:dyDescent="0.35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 x14ac:dyDescent="0.35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 x14ac:dyDescent="0.35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 x14ac:dyDescent="0.35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 x14ac:dyDescent="0.35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 x14ac:dyDescent="0.35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 x14ac:dyDescent="0.35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 x14ac:dyDescent="0.35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 x14ac:dyDescent="0.35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 x14ac:dyDescent="0.35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 x14ac:dyDescent="0.35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 x14ac:dyDescent="0.35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 x14ac:dyDescent="0.35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 x14ac:dyDescent="0.35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 x14ac:dyDescent="0.35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 x14ac:dyDescent="0.35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 x14ac:dyDescent="0.35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 x14ac:dyDescent="0.35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 x14ac:dyDescent="0.35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 x14ac:dyDescent="0.35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 x14ac:dyDescent="0.35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 x14ac:dyDescent="0.35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 x14ac:dyDescent="0.35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 x14ac:dyDescent="0.35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 x14ac:dyDescent="0.35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 x14ac:dyDescent="0.35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 x14ac:dyDescent="0.35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 x14ac:dyDescent="0.35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 x14ac:dyDescent="0.35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 x14ac:dyDescent="0.35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 x14ac:dyDescent="0.35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 x14ac:dyDescent="0.35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 x14ac:dyDescent="0.35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 x14ac:dyDescent="0.35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 x14ac:dyDescent="0.35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 x14ac:dyDescent="0.35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 x14ac:dyDescent="0.35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 x14ac:dyDescent="0.35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 x14ac:dyDescent="0.35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 x14ac:dyDescent="0.35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 x14ac:dyDescent="0.35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 x14ac:dyDescent="0.35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 x14ac:dyDescent="0.35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 x14ac:dyDescent="0.35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 x14ac:dyDescent="0.35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 x14ac:dyDescent="0.35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 x14ac:dyDescent="0.35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 x14ac:dyDescent="0.35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 x14ac:dyDescent="0.35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 x14ac:dyDescent="0.35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 x14ac:dyDescent="0.35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 x14ac:dyDescent="0.35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 x14ac:dyDescent="0.35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 x14ac:dyDescent="0.35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 x14ac:dyDescent="0.35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 x14ac:dyDescent="0.35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 x14ac:dyDescent="0.35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 x14ac:dyDescent="0.35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 x14ac:dyDescent="0.35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 x14ac:dyDescent="0.35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 x14ac:dyDescent="0.35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 x14ac:dyDescent="0.35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 x14ac:dyDescent="0.35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 x14ac:dyDescent="0.35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 x14ac:dyDescent="0.35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 x14ac:dyDescent="0.35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 x14ac:dyDescent="0.35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 x14ac:dyDescent="0.35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 x14ac:dyDescent="0.35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 x14ac:dyDescent="0.35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 x14ac:dyDescent="0.35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 x14ac:dyDescent="0.35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 x14ac:dyDescent="0.35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 x14ac:dyDescent="0.35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 x14ac:dyDescent="0.35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 x14ac:dyDescent="0.35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 x14ac:dyDescent="0.35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 x14ac:dyDescent="0.35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 x14ac:dyDescent="0.35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 x14ac:dyDescent="0.35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 x14ac:dyDescent="0.35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 x14ac:dyDescent="0.35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 x14ac:dyDescent="0.35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 x14ac:dyDescent="0.35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 x14ac:dyDescent="0.35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 x14ac:dyDescent="0.35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 x14ac:dyDescent="0.35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 x14ac:dyDescent="0.35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 x14ac:dyDescent="0.35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 x14ac:dyDescent="0.35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 x14ac:dyDescent="0.35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 x14ac:dyDescent="0.35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 x14ac:dyDescent="0.35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 x14ac:dyDescent="0.35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 x14ac:dyDescent="0.35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 x14ac:dyDescent="0.35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 x14ac:dyDescent="0.35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 x14ac:dyDescent="0.35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 x14ac:dyDescent="0.35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 x14ac:dyDescent="0.35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 x14ac:dyDescent="0.35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 x14ac:dyDescent="0.35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 x14ac:dyDescent="0.35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 x14ac:dyDescent="0.35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 x14ac:dyDescent="0.35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 x14ac:dyDescent="0.35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 x14ac:dyDescent="0.35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 x14ac:dyDescent="0.35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 x14ac:dyDescent="0.35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 x14ac:dyDescent="0.35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 x14ac:dyDescent="0.35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 x14ac:dyDescent="0.35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 x14ac:dyDescent="0.35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 x14ac:dyDescent="0.35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 x14ac:dyDescent="0.35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 x14ac:dyDescent="0.35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 x14ac:dyDescent="0.35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 x14ac:dyDescent="0.35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 x14ac:dyDescent="0.35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 x14ac:dyDescent="0.35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 x14ac:dyDescent="0.35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 x14ac:dyDescent="0.35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 x14ac:dyDescent="0.35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 x14ac:dyDescent="0.35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 x14ac:dyDescent="0.35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 x14ac:dyDescent="0.35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 x14ac:dyDescent="0.35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 x14ac:dyDescent="0.35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 x14ac:dyDescent="0.35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 x14ac:dyDescent="0.35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 x14ac:dyDescent="0.35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 x14ac:dyDescent="0.35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 x14ac:dyDescent="0.35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 x14ac:dyDescent="0.35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 x14ac:dyDescent="0.35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 x14ac:dyDescent="0.35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 x14ac:dyDescent="0.35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 x14ac:dyDescent="0.35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 x14ac:dyDescent="0.35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 x14ac:dyDescent="0.35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 x14ac:dyDescent="0.35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 x14ac:dyDescent="0.35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 x14ac:dyDescent="0.35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 x14ac:dyDescent="0.35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 x14ac:dyDescent="0.35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 x14ac:dyDescent="0.35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 x14ac:dyDescent="0.35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 x14ac:dyDescent="0.35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 x14ac:dyDescent="0.35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 x14ac:dyDescent="0.35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 x14ac:dyDescent="0.35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 x14ac:dyDescent="0.35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 x14ac:dyDescent="0.35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 x14ac:dyDescent="0.35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 x14ac:dyDescent="0.35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 x14ac:dyDescent="0.35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 x14ac:dyDescent="0.35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 x14ac:dyDescent="0.35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 x14ac:dyDescent="0.35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 x14ac:dyDescent="0.35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 x14ac:dyDescent="0.35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 x14ac:dyDescent="0.35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 x14ac:dyDescent="0.35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 x14ac:dyDescent="0.35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 x14ac:dyDescent="0.35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 x14ac:dyDescent="0.35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 x14ac:dyDescent="0.35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 x14ac:dyDescent="0.35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 x14ac:dyDescent="0.35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 x14ac:dyDescent="0.35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 x14ac:dyDescent="0.35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 x14ac:dyDescent="0.35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 x14ac:dyDescent="0.35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 x14ac:dyDescent="0.35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 x14ac:dyDescent="0.35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 x14ac:dyDescent="0.35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 x14ac:dyDescent="0.35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 x14ac:dyDescent="0.35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 x14ac:dyDescent="0.35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 x14ac:dyDescent="0.35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 x14ac:dyDescent="0.35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 x14ac:dyDescent="0.35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 x14ac:dyDescent="0.35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 x14ac:dyDescent="0.35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 x14ac:dyDescent="0.35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 x14ac:dyDescent="0.35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 x14ac:dyDescent="0.35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 x14ac:dyDescent="0.35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 x14ac:dyDescent="0.35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 x14ac:dyDescent="0.35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 x14ac:dyDescent="0.35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 x14ac:dyDescent="0.35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 x14ac:dyDescent="0.35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 x14ac:dyDescent="0.35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 x14ac:dyDescent="0.35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 x14ac:dyDescent="0.35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 x14ac:dyDescent="0.35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 x14ac:dyDescent="0.35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 x14ac:dyDescent="0.35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 x14ac:dyDescent="0.35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 x14ac:dyDescent="0.35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 x14ac:dyDescent="0.35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 x14ac:dyDescent="0.35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 x14ac:dyDescent="0.35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 x14ac:dyDescent="0.35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 x14ac:dyDescent="0.35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 x14ac:dyDescent="0.35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 x14ac:dyDescent="0.35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 x14ac:dyDescent="0.35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 x14ac:dyDescent="0.35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 x14ac:dyDescent="0.35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 x14ac:dyDescent="0.35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 x14ac:dyDescent="0.35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 x14ac:dyDescent="0.35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 x14ac:dyDescent="0.35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 x14ac:dyDescent="0.35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 x14ac:dyDescent="0.35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 x14ac:dyDescent="0.35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 x14ac:dyDescent="0.35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 x14ac:dyDescent="0.35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 x14ac:dyDescent="0.35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 x14ac:dyDescent="0.35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 x14ac:dyDescent="0.35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 x14ac:dyDescent="0.35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 x14ac:dyDescent="0.35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 x14ac:dyDescent="0.35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 x14ac:dyDescent="0.35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 x14ac:dyDescent="0.35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 x14ac:dyDescent="0.35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 x14ac:dyDescent="0.35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 x14ac:dyDescent="0.35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 x14ac:dyDescent="0.35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 x14ac:dyDescent="0.35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 x14ac:dyDescent="0.35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 x14ac:dyDescent="0.35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 x14ac:dyDescent="0.35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 x14ac:dyDescent="0.35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 x14ac:dyDescent="0.35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 x14ac:dyDescent="0.35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 x14ac:dyDescent="0.35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 x14ac:dyDescent="0.35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 x14ac:dyDescent="0.35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 x14ac:dyDescent="0.35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 x14ac:dyDescent="0.35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 x14ac:dyDescent="0.35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 x14ac:dyDescent="0.35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 x14ac:dyDescent="0.35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 x14ac:dyDescent="0.35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 x14ac:dyDescent="0.35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 x14ac:dyDescent="0.35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 x14ac:dyDescent="0.35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 x14ac:dyDescent="0.35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 x14ac:dyDescent="0.35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 x14ac:dyDescent="0.35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 x14ac:dyDescent="0.35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 x14ac:dyDescent="0.35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 x14ac:dyDescent="0.35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 x14ac:dyDescent="0.35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 x14ac:dyDescent="0.35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 x14ac:dyDescent="0.35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 x14ac:dyDescent="0.35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 x14ac:dyDescent="0.35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 x14ac:dyDescent="0.35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 x14ac:dyDescent="0.35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 x14ac:dyDescent="0.35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 x14ac:dyDescent="0.35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 x14ac:dyDescent="0.35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 x14ac:dyDescent="0.35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 x14ac:dyDescent="0.35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 x14ac:dyDescent="0.35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 x14ac:dyDescent="0.35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 x14ac:dyDescent="0.35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 x14ac:dyDescent="0.35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 x14ac:dyDescent="0.35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 x14ac:dyDescent="0.35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 x14ac:dyDescent="0.35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 x14ac:dyDescent="0.35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 x14ac:dyDescent="0.35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 x14ac:dyDescent="0.35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 x14ac:dyDescent="0.35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 x14ac:dyDescent="0.35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 x14ac:dyDescent="0.35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 x14ac:dyDescent="0.35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 x14ac:dyDescent="0.35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 x14ac:dyDescent="0.35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 x14ac:dyDescent="0.35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 x14ac:dyDescent="0.35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 x14ac:dyDescent="0.35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 x14ac:dyDescent="0.35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 x14ac:dyDescent="0.35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 x14ac:dyDescent="0.35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 x14ac:dyDescent="0.35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 x14ac:dyDescent="0.35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 x14ac:dyDescent="0.35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 x14ac:dyDescent="0.35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 x14ac:dyDescent="0.35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 x14ac:dyDescent="0.35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 x14ac:dyDescent="0.35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 x14ac:dyDescent="0.35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 x14ac:dyDescent="0.35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 x14ac:dyDescent="0.35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 x14ac:dyDescent="0.35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 x14ac:dyDescent="0.35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 x14ac:dyDescent="0.35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 x14ac:dyDescent="0.35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 x14ac:dyDescent="0.35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 x14ac:dyDescent="0.35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 x14ac:dyDescent="0.35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 x14ac:dyDescent="0.35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 x14ac:dyDescent="0.35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 x14ac:dyDescent="0.35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 x14ac:dyDescent="0.35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 x14ac:dyDescent="0.35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 x14ac:dyDescent="0.35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 x14ac:dyDescent="0.35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 x14ac:dyDescent="0.35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 x14ac:dyDescent="0.35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 x14ac:dyDescent="0.35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 x14ac:dyDescent="0.35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 x14ac:dyDescent="0.35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 x14ac:dyDescent="0.35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 x14ac:dyDescent="0.35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 x14ac:dyDescent="0.35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 x14ac:dyDescent="0.35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 x14ac:dyDescent="0.35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 x14ac:dyDescent="0.35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 x14ac:dyDescent="0.35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 x14ac:dyDescent="0.35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 x14ac:dyDescent="0.35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 x14ac:dyDescent="0.35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 x14ac:dyDescent="0.35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 x14ac:dyDescent="0.35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 x14ac:dyDescent="0.35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 x14ac:dyDescent="0.35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 x14ac:dyDescent="0.35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 x14ac:dyDescent="0.35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 x14ac:dyDescent="0.35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 x14ac:dyDescent="0.35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 x14ac:dyDescent="0.35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 x14ac:dyDescent="0.35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 x14ac:dyDescent="0.35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 x14ac:dyDescent="0.35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 x14ac:dyDescent="0.35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 x14ac:dyDescent="0.35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 x14ac:dyDescent="0.35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 x14ac:dyDescent="0.35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 x14ac:dyDescent="0.35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 x14ac:dyDescent="0.35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 x14ac:dyDescent="0.35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 x14ac:dyDescent="0.35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 x14ac:dyDescent="0.35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 x14ac:dyDescent="0.35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 x14ac:dyDescent="0.35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 x14ac:dyDescent="0.35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 x14ac:dyDescent="0.35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 x14ac:dyDescent="0.35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 x14ac:dyDescent="0.35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 x14ac:dyDescent="0.35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 x14ac:dyDescent="0.35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 x14ac:dyDescent="0.35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 x14ac:dyDescent="0.35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 x14ac:dyDescent="0.35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 x14ac:dyDescent="0.35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 x14ac:dyDescent="0.35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 x14ac:dyDescent="0.35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 x14ac:dyDescent="0.35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 x14ac:dyDescent="0.35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 x14ac:dyDescent="0.35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 x14ac:dyDescent="0.35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 x14ac:dyDescent="0.35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 x14ac:dyDescent="0.35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 x14ac:dyDescent="0.35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 x14ac:dyDescent="0.35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 x14ac:dyDescent="0.35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 x14ac:dyDescent="0.35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 x14ac:dyDescent="0.35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 x14ac:dyDescent="0.35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 x14ac:dyDescent="0.35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 x14ac:dyDescent="0.35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 x14ac:dyDescent="0.35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 x14ac:dyDescent="0.35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 x14ac:dyDescent="0.35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 x14ac:dyDescent="0.35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 x14ac:dyDescent="0.35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 x14ac:dyDescent="0.35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 x14ac:dyDescent="0.35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 x14ac:dyDescent="0.35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 x14ac:dyDescent="0.35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 x14ac:dyDescent="0.35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 x14ac:dyDescent="0.35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 x14ac:dyDescent="0.35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 x14ac:dyDescent="0.35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 x14ac:dyDescent="0.35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 x14ac:dyDescent="0.35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 x14ac:dyDescent="0.35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 x14ac:dyDescent="0.35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 x14ac:dyDescent="0.35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 x14ac:dyDescent="0.35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 x14ac:dyDescent="0.35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 x14ac:dyDescent="0.35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 x14ac:dyDescent="0.35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 x14ac:dyDescent="0.35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 x14ac:dyDescent="0.35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 x14ac:dyDescent="0.35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 x14ac:dyDescent="0.35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 x14ac:dyDescent="0.35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 x14ac:dyDescent="0.35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 x14ac:dyDescent="0.35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 x14ac:dyDescent="0.35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 x14ac:dyDescent="0.35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 x14ac:dyDescent="0.35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 x14ac:dyDescent="0.35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 x14ac:dyDescent="0.35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 x14ac:dyDescent="0.35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 x14ac:dyDescent="0.35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 x14ac:dyDescent="0.35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 x14ac:dyDescent="0.35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 x14ac:dyDescent="0.35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 x14ac:dyDescent="0.35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 x14ac:dyDescent="0.35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 x14ac:dyDescent="0.35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 x14ac:dyDescent="0.35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 x14ac:dyDescent="0.35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 x14ac:dyDescent="0.35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 x14ac:dyDescent="0.35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 x14ac:dyDescent="0.35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 x14ac:dyDescent="0.35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 x14ac:dyDescent="0.35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 x14ac:dyDescent="0.35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 x14ac:dyDescent="0.35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 x14ac:dyDescent="0.35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 x14ac:dyDescent="0.35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 x14ac:dyDescent="0.35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 x14ac:dyDescent="0.35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 x14ac:dyDescent="0.35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 x14ac:dyDescent="0.35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 x14ac:dyDescent="0.35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 x14ac:dyDescent="0.35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 x14ac:dyDescent="0.35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 x14ac:dyDescent="0.35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 x14ac:dyDescent="0.35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 x14ac:dyDescent="0.35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 x14ac:dyDescent="0.35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 x14ac:dyDescent="0.35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 x14ac:dyDescent="0.35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 x14ac:dyDescent="0.35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 x14ac:dyDescent="0.35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 x14ac:dyDescent="0.35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 x14ac:dyDescent="0.35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 x14ac:dyDescent="0.35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 x14ac:dyDescent="0.35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 x14ac:dyDescent="0.35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 x14ac:dyDescent="0.35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 x14ac:dyDescent="0.35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 x14ac:dyDescent="0.35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 x14ac:dyDescent="0.35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 x14ac:dyDescent="0.35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 x14ac:dyDescent="0.35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 x14ac:dyDescent="0.35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 x14ac:dyDescent="0.35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 x14ac:dyDescent="0.35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 x14ac:dyDescent="0.35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 x14ac:dyDescent="0.35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 x14ac:dyDescent="0.35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 x14ac:dyDescent="0.35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 x14ac:dyDescent="0.35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 x14ac:dyDescent="0.35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 x14ac:dyDescent="0.35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 x14ac:dyDescent="0.35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 x14ac:dyDescent="0.35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 x14ac:dyDescent="0.35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 x14ac:dyDescent="0.35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 x14ac:dyDescent="0.35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 x14ac:dyDescent="0.35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 x14ac:dyDescent="0.35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 x14ac:dyDescent="0.35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 x14ac:dyDescent="0.35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 x14ac:dyDescent="0.35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 x14ac:dyDescent="0.35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 x14ac:dyDescent="0.35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 x14ac:dyDescent="0.35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 x14ac:dyDescent="0.35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 x14ac:dyDescent="0.35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 x14ac:dyDescent="0.35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 x14ac:dyDescent="0.35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 x14ac:dyDescent="0.35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 x14ac:dyDescent="0.35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 x14ac:dyDescent="0.35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 x14ac:dyDescent="0.35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 x14ac:dyDescent="0.35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 x14ac:dyDescent="0.35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 x14ac:dyDescent="0.35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 x14ac:dyDescent="0.35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 x14ac:dyDescent="0.35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 x14ac:dyDescent="0.35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 x14ac:dyDescent="0.35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 x14ac:dyDescent="0.35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 x14ac:dyDescent="0.35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 x14ac:dyDescent="0.35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 x14ac:dyDescent="0.35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 x14ac:dyDescent="0.35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 x14ac:dyDescent="0.35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 x14ac:dyDescent="0.35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 x14ac:dyDescent="0.35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 x14ac:dyDescent="0.35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 x14ac:dyDescent="0.35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 x14ac:dyDescent="0.35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 x14ac:dyDescent="0.35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 x14ac:dyDescent="0.35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 x14ac:dyDescent="0.35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 x14ac:dyDescent="0.35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 x14ac:dyDescent="0.35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 x14ac:dyDescent="0.35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 x14ac:dyDescent="0.35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 x14ac:dyDescent="0.35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 x14ac:dyDescent="0.35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 x14ac:dyDescent="0.35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 x14ac:dyDescent="0.35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 x14ac:dyDescent="0.35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 x14ac:dyDescent="0.35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 x14ac:dyDescent="0.35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 x14ac:dyDescent="0.35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 x14ac:dyDescent="0.35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 x14ac:dyDescent="0.35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 x14ac:dyDescent="0.35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 x14ac:dyDescent="0.35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 x14ac:dyDescent="0.35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 x14ac:dyDescent="0.35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 x14ac:dyDescent="0.35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 x14ac:dyDescent="0.35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 x14ac:dyDescent="0.35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 x14ac:dyDescent="0.35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 x14ac:dyDescent="0.35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 x14ac:dyDescent="0.35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 x14ac:dyDescent="0.35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 x14ac:dyDescent="0.35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 x14ac:dyDescent="0.35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 x14ac:dyDescent="0.35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 x14ac:dyDescent="0.35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 x14ac:dyDescent="0.35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 x14ac:dyDescent="0.35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 x14ac:dyDescent="0.35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 x14ac:dyDescent="0.35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 x14ac:dyDescent="0.35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 x14ac:dyDescent="0.35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 x14ac:dyDescent="0.35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 x14ac:dyDescent="0.35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 x14ac:dyDescent="0.35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 x14ac:dyDescent="0.35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 x14ac:dyDescent="0.35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 x14ac:dyDescent="0.35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 x14ac:dyDescent="0.35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 x14ac:dyDescent="0.35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 x14ac:dyDescent="0.35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 x14ac:dyDescent="0.35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 x14ac:dyDescent="0.35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 x14ac:dyDescent="0.35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 x14ac:dyDescent="0.35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 x14ac:dyDescent="0.35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 x14ac:dyDescent="0.35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 x14ac:dyDescent="0.35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 x14ac:dyDescent="0.35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 x14ac:dyDescent="0.35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 x14ac:dyDescent="0.35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 x14ac:dyDescent="0.35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 x14ac:dyDescent="0.35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 x14ac:dyDescent="0.35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 x14ac:dyDescent="0.35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 x14ac:dyDescent="0.35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 x14ac:dyDescent="0.35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 x14ac:dyDescent="0.35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 x14ac:dyDescent="0.35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 x14ac:dyDescent="0.35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 x14ac:dyDescent="0.35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 x14ac:dyDescent="0.35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 x14ac:dyDescent="0.35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 x14ac:dyDescent="0.35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 x14ac:dyDescent="0.35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 x14ac:dyDescent="0.35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 x14ac:dyDescent="0.35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 x14ac:dyDescent="0.35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 x14ac:dyDescent="0.35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 x14ac:dyDescent="0.35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 x14ac:dyDescent="0.35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 x14ac:dyDescent="0.35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 x14ac:dyDescent="0.35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 x14ac:dyDescent="0.35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 x14ac:dyDescent="0.35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 x14ac:dyDescent="0.35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 x14ac:dyDescent="0.35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 x14ac:dyDescent="0.35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 x14ac:dyDescent="0.35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 x14ac:dyDescent="0.35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 x14ac:dyDescent="0.35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 x14ac:dyDescent="0.35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 x14ac:dyDescent="0.35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 x14ac:dyDescent="0.35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 x14ac:dyDescent="0.35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 x14ac:dyDescent="0.35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 x14ac:dyDescent="0.35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 x14ac:dyDescent="0.35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 x14ac:dyDescent="0.35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 x14ac:dyDescent="0.35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 x14ac:dyDescent="0.35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 x14ac:dyDescent="0.35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 x14ac:dyDescent="0.35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 x14ac:dyDescent="0.35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 x14ac:dyDescent="0.35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 x14ac:dyDescent="0.35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 x14ac:dyDescent="0.35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 x14ac:dyDescent="0.35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 x14ac:dyDescent="0.35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 x14ac:dyDescent="0.35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 x14ac:dyDescent="0.35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 x14ac:dyDescent="0.35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 x14ac:dyDescent="0.35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 x14ac:dyDescent="0.35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 x14ac:dyDescent="0.35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 x14ac:dyDescent="0.35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 x14ac:dyDescent="0.35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 x14ac:dyDescent="0.35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 x14ac:dyDescent="0.35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 x14ac:dyDescent="0.35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 x14ac:dyDescent="0.35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 x14ac:dyDescent="0.35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 x14ac:dyDescent="0.35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 x14ac:dyDescent="0.35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 x14ac:dyDescent="0.35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 x14ac:dyDescent="0.35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 x14ac:dyDescent="0.35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 x14ac:dyDescent="0.35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 x14ac:dyDescent="0.35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 x14ac:dyDescent="0.35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 x14ac:dyDescent="0.35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 x14ac:dyDescent="0.35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 x14ac:dyDescent="0.35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 x14ac:dyDescent="0.35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 x14ac:dyDescent="0.35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 x14ac:dyDescent="0.35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 x14ac:dyDescent="0.35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 x14ac:dyDescent="0.35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 x14ac:dyDescent="0.35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 x14ac:dyDescent="0.35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 x14ac:dyDescent="0.35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 x14ac:dyDescent="0.35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 x14ac:dyDescent="0.35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 x14ac:dyDescent="0.35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 x14ac:dyDescent="0.35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 x14ac:dyDescent="0.35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 x14ac:dyDescent="0.35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 x14ac:dyDescent="0.35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 x14ac:dyDescent="0.35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 x14ac:dyDescent="0.35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 x14ac:dyDescent="0.35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 x14ac:dyDescent="0.35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 x14ac:dyDescent="0.35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 x14ac:dyDescent="0.35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 x14ac:dyDescent="0.35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 x14ac:dyDescent="0.35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 x14ac:dyDescent="0.35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 x14ac:dyDescent="0.35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 x14ac:dyDescent="0.35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 x14ac:dyDescent="0.35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 x14ac:dyDescent="0.35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 x14ac:dyDescent="0.35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 x14ac:dyDescent="0.35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 x14ac:dyDescent="0.35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 x14ac:dyDescent="0.35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 x14ac:dyDescent="0.35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 x14ac:dyDescent="0.35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 x14ac:dyDescent="0.35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 x14ac:dyDescent="0.35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 x14ac:dyDescent="0.35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 x14ac:dyDescent="0.35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 x14ac:dyDescent="0.35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 x14ac:dyDescent="0.35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 x14ac:dyDescent="0.35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 x14ac:dyDescent="0.35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 x14ac:dyDescent="0.35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 x14ac:dyDescent="0.35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 x14ac:dyDescent="0.35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 x14ac:dyDescent="0.35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 x14ac:dyDescent="0.35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 x14ac:dyDescent="0.35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 x14ac:dyDescent="0.35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 x14ac:dyDescent="0.35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 x14ac:dyDescent="0.35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 x14ac:dyDescent="0.35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 x14ac:dyDescent="0.35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 x14ac:dyDescent="0.35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 x14ac:dyDescent="0.35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 x14ac:dyDescent="0.35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 x14ac:dyDescent="0.35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 x14ac:dyDescent="0.35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 x14ac:dyDescent="0.35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 x14ac:dyDescent="0.35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 x14ac:dyDescent="0.35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 x14ac:dyDescent="0.35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 x14ac:dyDescent="0.35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 x14ac:dyDescent="0.35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 x14ac:dyDescent="0.35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 x14ac:dyDescent="0.35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 x14ac:dyDescent="0.35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 x14ac:dyDescent="0.35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 x14ac:dyDescent="0.35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 x14ac:dyDescent="0.35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 x14ac:dyDescent="0.35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 x14ac:dyDescent="0.35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 x14ac:dyDescent="0.35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 x14ac:dyDescent="0.35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 x14ac:dyDescent="0.35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 x14ac:dyDescent="0.35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 x14ac:dyDescent="0.35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 x14ac:dyDescent="0.35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 x14ac:dyDescent="0.35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 x14ac:dyDescent="0.35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 x14ac:dyDescent="0.35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 x14ac:dyDescent="0.35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 x14ac:dyDescent="0.35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 x14ac:dyDescent="0.35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 x14ac:dyDescent="0.35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 x14ac:dyDescent="0.35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 x14ac:dyDescent="0.35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 x14ac:dyDescent="0.35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 x14ac:dyDescent="0.35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 x14ac:dyDescent="0.35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 x14ac:dyDescent="0.35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 x14ac:dyDescent="0.35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 x14ac:dyDescent="0.35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 x14ac:dyDescent="0.35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 x14ac:dyDescent="0.35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 x14ac:dyDescent="0.35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 x14ac:dyDescent="0.35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 x14ac:dyDescent="0.35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 x14ac:dyDescent="0.35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 x14ac:dyDescent="0.35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 x14ac:dyDescent="0.35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 x14ac:dyDescent="0.35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 x14ac:dyDescent="0.35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 x14ac:dyDescent="0.35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 x14ac:dyDescent="0.35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 x14ac:dyDescent="0.35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 x14ac:dyDescent="0.35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 x14ac:dyDescent="0.35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 x14ac:dyDescent="0.35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 x14ac:dyDescent="0.35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 x14ac:dyDescent="0.35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 x14ac:dyDescent="0.35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 x14ac:dyDescent="0.35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 x14ac:dyDescent="0.35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 x14ac:dyDescent="0.35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 x14ac:dyDescent="0.35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 x14ac:dyDescent="0.35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 x14ac:dyDescent="0.35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 x14ac:dyDescent="0.35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 x14ac:dyDescent="0.35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 x14ac:dyDescent="0.35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 x14ac:dyDescent="0.35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 x14ac:dyDescent="0.35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 x14ac:dyDescent="0.35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 x14ac:dyDescent="0.35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 x14ac:dyDescent="0.35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 x14ac:dyDescent="0.35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 x14ac:dyDescent="0.35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 x14ac:dyDescent="0.35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 x14ac:dyDescent="0.35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 x14ac:dyDescent="0.35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 x14ac:dyDescent="0.35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 x14ac:dyDescent="0.35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 x14ac:dyDescent="0.35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 x14ac:dyDescent="0.35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 x14ac:dyDescent="0.35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 x14ac:dyDescent="0.35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 x14ac:dyDescent="0.35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 x14ac:dyDescent="0.35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 x14ac:dyDescent="0.35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 x14ac:dyDescent="0.35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 x14ac:dyDescent="0.35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 x14ac:dyDescent="0.35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 x14ac:dyDescent="0.35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 x14ac:dyDescent="0.35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 x14ac:dyDescent="0.35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 x14ac:dyDescent="0.35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 x14ac:dyDescent="0.35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 x14ac:dyDescent="0.35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 x14ac:dyDescent="0.35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 x14ac:dyDescent="0.35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 x14ac:dyDescent="0.35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 x14ac:dyDescent="0.35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 x14ac:dyDescent="0.35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 x14ac:dyDescent="0.35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 x14ac:dyDescent="0.35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 x14ac:dyDescent="0.35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 x14ac:dyDescent="0.35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 x14ac:dyDescent="0.35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 x14ac:dyDescent="0.35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 x14ac:dyDescent="0.35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 x14ac:dyDescent="0.35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 x14ac:dyDescent="0.35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 x14ac:dyDescent="0.35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 x14ac:dyDescent="0.35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 x14ac:dyDescent="0.35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 x14ac:dyDescent="0.35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 x14ac:dyDescent="0.35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 x14ac:dyDescent="0.35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 x14ac:dyDescent="0.35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 x14ac:dyDescent="0.35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 x14ac:dyDescent="0.35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 x14ac:dyDescent="0.35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 x14ac:dyDescent="0.35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 x14ac:dyDescent="0.35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 x14ac:dyDescent="0.35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 x14ac:dyDescent="0.35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 x14ac:dyDescent="0.35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 x14ac:dyDescent="0.35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 x14ac:dyDescent="0.35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 x14ac:dyDescent="0.35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 x14ac:dyDescent="0.35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 x14ac:dyDescent="0.35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 x14ac:dyDescent="0.35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 x14ac:dyDescent="0.35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 x14ac:dyDescent="0.35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 x14ac:dyDescent="0.35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 x14ac:dyDescent="0.35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 x14ac:dyDescent="0.35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 x14ac:dyDescent="0.35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 x14ac:dyDescent="0.35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 x14ac:dyDescent="0.35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 x14ac:dyDescent="0.35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 x14ac:dyDescent="0.35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 x14ac:dyDescent="0.35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 x14ac:dyDescent="0.35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 x14ac:dyDescent="0.35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 x14ac:dyDescent="0.35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 x14ac:dyDescent="0.35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 x14ac:dyDescent="0.35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 x14ac:dyDescent="0.35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 x14ac:dyDescent="0.35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 x14ac:dyDescent="0.35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 x14ac:dyDescent="0.35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 x14ac:dyDescent="0.35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 x14ac:dyDescent="0.35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 x14ac:dyDescent="0.35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 x14ac:dyDescent="0.35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 x14ac:dyDescent="0.35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 x14ac:dyDescent="0.35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 x14ac:dyDescent="0.35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 x14ac:dyDescent="0.35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 x14ac:dyDescent="0.35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 x14ac:dyDescent="0.35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 x14ac:dyDescent="0.35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 x14ac:dyDescent="0.35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 x14ac:dyDescent="0.35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 x14ac:dyDescent="0.35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 x14ac:dyDescent="0.35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 x14ac:dyDescent="0.35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 x14ac:dyDescent="0.35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 x14ac:dyDescent="0.35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 x14ac:dyDescent="0.35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 x14ac:dyDescent="0.35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 x14ac:dyDescent="0.35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 x14ac:dyDescent="0.35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 x14ac:dyDescent="0.35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 x14ac:dyDescent="0.35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 x14ac:dyDescent="0.35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 x14ac:dyDescent="0.35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 x14ac:dyDescent="0.35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 x14ac:dyDescent="0.35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 x14ac:dyDescent="0.35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 x14ac:dyDescent="0.35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 x14ac:dyDescent="0.35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 x14ac:dyDescent="0.35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 x14ac:dyDescent="0.35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 x14ac:dyDescent="0.35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 x14ac:dyDescent="0.35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 x14ac:dyDescent="0.35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 x14ac:dyDescent="0.35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 x14ac:dyDescent="0.35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 x14ac:dyDescent="0.35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 x14ac:dyDescent="0.35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 x14ac:dyDescent="0.35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 x14ac:dyDescent="0.35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 x14ac:dyDescent="0.35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 x14ac:dyDescent="0.35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 x14ac:dyDescent="0.35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 x14ac:dyDescent="0.35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 x14ac:dyDescent="0.35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 x14ac:dyDescent="0.35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 x14ac:dyDescent="0.35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 x14ac:dyDescent="0.35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 x14ac:dyDescent="0.35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 x14ac:dyDescent="0.35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 x14ac:dyDescent="0.35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 x14ac:dyDescent="0.35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 x14ac:dyDescent="0.35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 x14ac:dyDescent="0.35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 x14ac:dyDescent="0.35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 x14ac:dyDescent="0.35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 x14ac:dyDescent="0.35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 x14ac:dyDescent="0.35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 x14ac:dyDescent="0.35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 x14ac:dyDescent="0.35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 x14ac:dyDescent="0.35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 x14ac:dyDescent="0.35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 x14ac:dyDescent="0.35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 x14ac:dyDescent="0.35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 x14ac:dyDescent="0.35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 x14ac:dyDescent="0.35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 x14ac:dyDescent="0.35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 x14ac:dyDescent="0.35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 x14ac:dyDescent="0.35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 x14ac:dyDescent="0.35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 x14ac:dyDescent="0.35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 x14ac:dyDescent="0.35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 x14ac:dyDescent="0.35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 x14ac:dyDescent="0.35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 x14ac:dyDescent="0.35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 x14ac:dyDescent="0.35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 x14ac:dyDescent="0.35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 x14ac:dyDescent="0.35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 x14ac:dyDescent="0.35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 x14ac:dyDescent="0.35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 x14ac:dyDescent="0.35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 x14ac:dyDescent="0.35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 x14ac:dyDescent="0.35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 x14ac:dyDescent="0.35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 x14ac:dyDescent="0.35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 x14ac:dyDescent="0.35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 x14ac:dyDescent="0.35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 x14ac:dyDescent="0.35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 x14ac:dyDescent="0.35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 x14ac:dyDescent="0.35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 x14ac:dyDescent="0.35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 x14ac:dyDescent="0.35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 x14ac:dyDescent="0.35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 x14ac:dyDescent="0.35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 x14ac:dyDescent="0.35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 x14ac:dyDescent="0.35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 x14ac:dyDescent="0.35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 x14ac:dyDescent="0.35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 x14ac:dyDescent="0.35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 x14ac:dyDescent="0.35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 x14ac:dyDescent="0.35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 x14ac:dyDescent="0.35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 x14ac:dyDescent="0.35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 x14ac:dyDescent="0.35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 x14ac:dyDescent="0.35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 x14ac:dyDescent="0.35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 x14ac:dyDescent="0.35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 x14ac:dyDescent="0.35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 x14ac:dyDescent="0.35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 x14ac:dyDescent="0.35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 x14ac:dyDescent="0.35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 x14ac:dyDescent="0.35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 x14ac:dyDescent="0.35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 x14ac:dyDescent="0.35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 x14ac:dyDescent="0.35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 x14ac:dyDescent="0.35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 x14ac:dyDescent="0.35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 x14ac:dyDescent="0.35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 x14ac:dyDescent="0.35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 x14ac:dyDescent="0.35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 x14ac:dyDescent="0.35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 x14ac:dyDescent="0.35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 x14ac:dyDescent="0.35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 x14ac:dyDescent="0.35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 x14ac:dyDescent="0.35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 x14ac:dyDescent="0.35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 x14ac:dyDescent="0.35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 x14ac:dyDescent="0.35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 x14ac:dyDescent="0.35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 x14ac:dyDescent="0.35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 x14ac:dyDescent="0.35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 x14ac:dyDescent="0.35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 x14ac:dyDescent="0.35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 x14ac:dyDescent="0.35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 x14ac:dyDescent="0.35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 x14ac:dyDescent="0.35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 x14ac:dyDescent="0.35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 x14ac:dyDescent="0.35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 x14ac:dyDescent="0.35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 x14ac:dyDescent="0.35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 x14ac:dyDescent="0.35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 x14ac:dyDescent="0.35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 x14ac:dyDescent="0.35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 x14ac:dyDescent="0.35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 x14ac:dyDescent="0.35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 x14ac:dyDescent="0.35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 x14ac:dyDescent="0.35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 x14ac:dyDescent="0.35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 x14ac:dyDescent="0.35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 x14ac:dyDescent="0.35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 x14ac:dyDescent="0.35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 x14ac:dyDescent="0.35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 x14ac:dyDescent="0.35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 x14ac:dyDescent="0.35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 x14ac:dyDescent="0.35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 x14ac:dyDescent="0.35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 x14ac:dyDescent="0.35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 x14ac:dyDescent="0.35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 x14ac:dyDescent="0.35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 x14ac:dyDescent="0.35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 x14ac:dyDescent="0.35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 x14ac:dyDescent="0.35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 x14ac:dyDescent="0.35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 x14ac:dyDescent="0.35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 x14ac:dyDescent="0.35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 x14ac:dyDescent="0.35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 x14ac:dyDescent="0.35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 x14ac:dyDescent="0.35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 x14ac:dyDescent="0.35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 x14ac:dyDescent="0.35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 x14ac:dyDescent="0.35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 x14ac:dyDescent="0.35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 x14ac:dyDescent="0.35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 x14ac:dyDescent="0.35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 x14ac:dyDescent="0.35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 x14ac:dyDescent="0.35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 x14ac:dyDescent="0.35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 x14ac:dyDescent="0.35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 x14ac:dyDescent="0.35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 x14ac:dyDescent="0.35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 x14ac:dyDescent="0.35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 x14ac:dyDescent="0.35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 x14ac:dyDescent="0.35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 x14ac:dyDescent="0.35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 x14ac:dyDescent="0.35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 x14ac:dyDescent="0.35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 x14ac:dyDescent="0.35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 x14ac:dyDescent="0.35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 x14ac:dyDescent="0.35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 x14ac:dyDescent="0.35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 x14ac:dyDescent="0.35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 x14ac:dyDescent="0.35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 x14ac:dyDescent="0.35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 x14ac:dyDescent="0.35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 x14ac:dyDescent="0.35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 x14ac:dyDescent="0.35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 x14ac:dyDescent="0.35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 x14ac:dyDescent="0.35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 x14ac:dyDescent="0.35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 x14ac:dyDescent="0.35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 x14ac:dyDescent="0.35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 x14ac:dyDescent="0.35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 x14ac:dyDescent="0.35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 x14ac:dyDescent="0.35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 x14ac:dyDescent="0.35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 x14ac:dyDescent="0.35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 x14ac:dyDescent="0.35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 x14ac:dyDescent="0.35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 x14ac:dyDescent="0.35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 x14ac:dyDescent="0.35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 x14ac:dyDescent="0.35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 x14ac:dyDescent="0.35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 x14ac:dyDescent="0.35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 x14ac:dyDescent="0.35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 x14ac:dyDescent="0.35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 x14ac:dyDescent="0.35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 x14ac:dyDescent="0.35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 x14ac:dyDescent="0.35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 x14ac:dyDescent="0.35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 x14ac:dyDescent="0.35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 x14ac:dyDescent="0.35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 x14ac:dyDescent="0.35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 x14ac:dyDescent="0.35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 x14ac:dyDescent="0.35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 x14ac:dyDescent="0.35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 x14ac:dyDescent="0.35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 x14ac:dyDescent="0.35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 x14ac:dyDescent="0.35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 x14ac:dyDescent="0.35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 x14ac:dyDescent="0.35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 x14ac:dyDescent="0.35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 x14ac:dyDescent="0.35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 x14ac:dyDescent="0.35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 x14ac:dyDescent="0.35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 x14ac:dyDescent="0.35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 x14ac:dyDescent="0.35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 x14ac:dyDescent="0.35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 x14ac:dyDescent="0.35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 x14ac:dyDescent="0.35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 x14ac:dyDescent="0.35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 x14ac:dyDescent="0.35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 x14ac:dyDescent="0.35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 x14ac:dyDescent="0.35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 x14ac:dyDescent="0.35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 x14ac:dyDescent="0.35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 x14ac:dyDescent="0.35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 x14ac:dyDescent="0.35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 x14ac:dyDescent="0.35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 x14ac:dyDescent="0.35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 x14ac:dyDescent="0.35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 x14ac:dyDescent="0.35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 x14ac:dyDescent="0.35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 x14ac:dyDescent="0.35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 x14ac:dyDescent="0.35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 x14ac:dyDescent="0.35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 x14ac:dyDescent="0.35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 x14ac:dyDescent="0.35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 x14ac:dyDescent="0.35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 x14ac:dyDescent="0.35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 x14ac:dyDescent="0.35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 x14ac:dyDescent="0.35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 x14ac:dyDescent="0.35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 x14ac:dyDescent="0.35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 x14ac:dyDescent="0.35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 x14ac:dyDescent="0.35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 x14ac:dyDescent="0.35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 x14ac:dyDescent="0.35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 x14ac:dyDescent="0.35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 x14ac:dyDescent="0.35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 x14ac:dyDescent="0.35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 x14ac:dyDescent="0.35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 x14ac:dyDescent="0.35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 x14ac:dyDescent="0.35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 x14ac:dyDescent="0.35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 x14ac:dyDescent="0.35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 x14ac:dyDescent="0.35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 x14ac:dyDescent="0.35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 x14ac:dyDescent="0.35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 x14ac:dyDescent="0.35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 x14ac:dyDescent="0.35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 x14ac:dyDescent="0.35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 x14ac:dyDescent="0.35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 x14ac:dyDescent="0.35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 x14ac:dyDescent="0.35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 x14ac:dyDescent="0.35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 x14ac:dyDescent="0.35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 x14ac:dyDescent="0.35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 x14ac:dyDescent="0.35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 x14ac:dyDescent="0.35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 x14ac:dyDescent="0.35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 x14ac:dyDescent="0.35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 x14ac:dyDescent="0.35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 x14ac:dyDescent="0.35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 x14ac:dyDescent="0.35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 x14ac:dyDescent="0.35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 x14ac:dyDescent="0.35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 x14ac:dyDescent="0.35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 x14ac:dyDescent="0.35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 x14ac:dyDescent="0.35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 x14ac:dyDescent="0.35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 x14ac:dyDescent="0.35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 x14ac:dyDescent="0.35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 x14ac:dyDescent="0.35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 x14ac:dyDescent="0.35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 x14ac:dyDescent="0.35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 x14ac:dyDescent="0.35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 x14ac:dyDescent="0.35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 x14ac:dyDescent="0.35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 x14ac:dyDescent="0.35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 x14ac:dyDescent="0.35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 x14ac:dyDescent="0.35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 x14ac:dyDescent="0.35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 x14ac:dyDescent="0.35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 x14ac:dyDescent="0.35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 x14ac:dyDescent="0.35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 x14ac:dyDescent="0.35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 x14ac:dyDescent="0.35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 x14ac:dyDescent="0.35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 x14ac:dyDescent="0.35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 x14ac:dyDescent="0.35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 x14ac:dyDescent="0.35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 x14ac:dyDescent="0.35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 x14ac:dyDescent="0.35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 x14ac:dyDescent="0.35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 x14ac:dyDescent="0.35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 x14ac:dyDescent="0.35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 x14ac:dyDescent="0.35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 x14ac:dyDescent="0.35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 x14ac:dyDescent="0.35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 x14ac:dyDescent="0.35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 x14ac:dyDescent="0.35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 x14ac:dyDescent="0.35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 x14ac:dyDescent="0.35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 x14ac:dyDescent="0.35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 x14ac:dyDescent="0.35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 x14ac:dyDescent="0.35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 x14ac:dyDescent="0.35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 x14ac:dyDescent="0.35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 x14ac:dyDescent="0.35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 x14ac:dyDescent="0.35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 x14ac:dyDescent="0.35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 x14ac:dyDescent="0.35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 x14ac:dyDescent="0.35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 x14ac:dyDescent="0.35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 x14ac:dyDescent="0.35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 x14ac:dyDescent="0.35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 x14ac:dyDescent="0.35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 x14ac:dyDescent="0.35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 x14ac:dyDescent="0.35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 x14ac:dyDescent="0.35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 x14ac:dyDescent="0.35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 x14ac:dyDescent="0.35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 x14ac:dyDescent="0.35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 x14ac:dyDescent="0.35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 x14ac:dyDescent="0.35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 x14ac:dyDescent="0.35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 x14ac:dyDescent="0.35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 x14ac:dyDescent="0.35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 x14ac:dyDescent="0.35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 x14ac:dyDescent="0.35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 x14ac:dyDescent="0.35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 x14ac:dyDescent="0.35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 x14ac:dyDescent="0.35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 x14ac:dyDescent="0.35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 x14ac:dyDescent="0.35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 x14ac:dyDescent="0.35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 x14ac:dyDescent="0.35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 x14ac:dyDescent="0.35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 x14ac:dyDescent="0.35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 x14ac:dyDescent="0.35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 x14ac:dyDescent="0.35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 x14ac:dyDescent="0.35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 x14ac:dyDescent="0.35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 x14ac:dyDescent="0.35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 x14ac:dyDescent="0.35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 x14ac:dyDescent="0.35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 x14ac:dyDescent="0.35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 x14ac:dyDescent="0.35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 x14ac:dyDescent="0.35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 x14ac:dyDescent="0.35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 x14ac:dyDescent="0.35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 x14ac:dyDescent="0.35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 x14ac:dyDescent="0.35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 x14ac:dyDescent="0.35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 x14ac:dyDescent="0.35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 x14ac:dyDescent="0.35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 x14ac:dyDescent="0.35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 x14ac:dyDescent="0.35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 x14ac:dyDescent="0.35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 x14ac:dyDescent="0.35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 x14ac:dyDescent="0.35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 x14ac:dyDescent="0.35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 x14ac:dyDescent="0.35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 x14ac:dyDescent="0.35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 x14ac:dyDescent="0.35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 x14ac:dyDescent="0.35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 x14ac:dyDescent="0.35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 x14ac:dyDescent="0.35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 x14ac:dyDescent="0.35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 x14ac:dyDescent="0.35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 x14ac:dyDescent="0.35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 x14ac:dyDescent="0.35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 x14ac:dyDescent="0.35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 x14ac:dyDescent="0.35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 x14ac:dyDescent="0.35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 x14ac:dyDescent="0.35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 x14ac:dyDescent="0.35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 x14ac:dyDescent="0.35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 x14ac:dyDescent="0.35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 x14ac:dyDescent="0.35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 x14ac:dyDescent="0.35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 x14ac:dyDescent="0.35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 x14ac:dyDescent="0.35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 x14ac:dyDescent="0.35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 x14ac:dyDescent="0.35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 x14ac:dyDescent="0.35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 x14ac:dyDescent="0.35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 x14ac:dyDescent="0.35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 x14ac:dyDescent="0.35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 x14ac:dyDescent="0.35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 x14ac:dyDescent="0.35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 x14ac:dyDescent="0.35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 x14ac:dyDescent="0.35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 x14ac:dyDescent="0.35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 x14ac:dyDescent="0.35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 x14ac:dyDescent="0.35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 x14ac:dyDescent="0.35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 x14ac:dyDescent="0.35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 x14ac:dyDescent="0.35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 x14ac:dyDescent="0.35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 x14ac:dyDescent="0.35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 x14ac:dyDescent="0.35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 x14ac:dyDescent="0.35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 x14ac:dyDescent="0.35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 x14ac:dyDescent="0.35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 x14ac:dyDescent="0.35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 x14ac:dyDescent="0.35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 x14ac:dyDescent="0.35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 x14ac:dyDescent="0.35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 x14ac:dyDescent="0.35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 x14ac:dyDescent="0.35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 x14ac:dyDescent="0.35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 x14ac:dyDescent="0.35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 x14ac:dyDescent="0.35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 x14ac:dyDescent="0.35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 x14ac:dyDescent="0.35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 x14ac:dyDescent="0.35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 x14ac:dyDescent="0.35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 x14ac:dyDescent="0.35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 x14ac:dyDescent="0.35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 x14ac:dyDescent="0.35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 x14ac:dyDescent="0.35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 x14ac:dyDescent="0.35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 x14ac:dyDescent="0.35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 x14ac:dyDescent="0.35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 x14ac:dyDescent="0.35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 x14ac:dyDescent="0.35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 x14ac:dyDescent="0.35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 x14ac:dyDescent="0.35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 x14ac:dyDescent="0.35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 x14ac:dyDescent="0.35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 x14ac:dyDescent="0.35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 x14ac:dyDescent="0.35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 x14ac:dyDescent="0.35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 x14ac:dyDescent="0.35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 x14ac:dyDescent="0.35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 x14ac:dyDescent="0.35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 x14ac:dyDescent="0.35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 x14ac:dyDescent="0.35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 x14ac:dyDescent="0.35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 x14ac:dyDescent="0.35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 x14ac:dyDescent="0.35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 x14ac:dyDescent="0.35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 x14ac:dyDescent="0.35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 x14ac:dyDescent="0.35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 x14ac:dyDescent="0.35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 x14ac:dyDescent="0.35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 x14ac:dyDescent="0.35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 x14ac:dyDescent="0.35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 x14ac:dyDescent="0.35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 x14ac:dyDescent="0.35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 x14ac:dyDescent="0.35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 x14ac:dyDescent="0.35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 x14ac:dyDescent="0.35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 x14ac:dyDescent="0.35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 x14ac:dyDescent="0.35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 x14ac:dyDescent="0.35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 x14ac:dyDescent="0.35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 x14ac:dyDescent="0.35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 x14ac:dyDescent="0.35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 x14ac:dyDescent="0.35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 x14ac:dyDescent="0.35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 x14ac:dyDescent="0.35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 x14ac:dyDescent="0.35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 x14ac:dyDescent="0.35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 x14ac:dyDescent="0.35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 x14ac:dyDescent="0.35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 x14ac:dyDescent="0.35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 x14ac:dyDescent="0.35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 x14ac:dyDescent="0.35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 x14ac:dyDescent="0.35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 x14ac:dyDescent="0.35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 x14ac:dyDescent="0.35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 x14ac:dyDescent="0.35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 x14ac:dyDescent="0.35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 x14ac:dyDescent="0.35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 x14ac:dyDescent="0.35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 x14ac:dyDescent="0.35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 x14ac:dyDescent="0.35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 x14ac:dyDescent="0.35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 x14ac:dyDescent="0.35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 x14ac:dyDescent="0.35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 x14ac:dyDescent="0.35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 x14ac:dyDescent="0.35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 x14ac:dyDescent="0.35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 x14ac:dyDescent="0.35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 x14ac:dyDescent="0.35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 x14ac:dyDescent="0.35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 x14ac:dyDescent="0.35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 x14ac:dyDescent="0.35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 x14ac:dyDescent="0.35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 x14ac:dyDescent="0.35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 x14ac:dyDescent="0.35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 x14ac:dyDescent="0.35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 x14ac:dyDescent="0.35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 x14ac:dyDescent="0.35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 x14ac:dyDescent="0.35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 x14ac:dyDescent="0.35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 x14ac:dyDescent="0.35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 x14ac:dyDescent="0.35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 x14ac:dyDescent="0.35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 x14ac:dyDescent="0.35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 x14ac:dyDescent="0.35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 x14ac:dyDescent="0.35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 x14ac:dyDescent="0.35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 x14ac:dyDescent="0.35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 x14ac:dyDescent="0.35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 x14ac:dyDescent="0.35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 x14ac:dyDescent="0.35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 x14ac:dyDescent="0.35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 x14ac:dyDescent="0.35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 x14ac:dyDescent="0.35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 x14ac:dyDescent="0.35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 x14ac:dyDescent="0.35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 x14ac:dyDescent="0.35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 x14ac:dyDescent="0.35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 x14ac:dyDescent="0.35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 x14ac:dyDescent="0.35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 x14ac:dyDescent="0.35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 x14ac:dyDescent="0.35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 x14ac:dyDescent="0.35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 x14ac:dyDescent="0.35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 x14ac:dyDescent="0.35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 x14ac:dyDescent="0.35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 x14ac:dyDescent="0.35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 x14ac:dyDescent="0.35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 x14ac:dyDescent="0.35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 x14ac:dyDescent="0.35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 x14ac:dyDescent="0.35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 x14ac:dyDescent="0.35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 x14ac:dyDescent="0.35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 x14ac:dyDescent="0.35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 x14ac:dyDescent="0.35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 x14ac:dyDescent="0.35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 x14ac:dyDescent="0.35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 x14ac:dyDescent="0.35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 x14ac:dyDescent="0.35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 x14ac:dyDescent="0.35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 x14ac:dyDescent="0.35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 x14ac:dyDescent="0.35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 x14ac:dyDescent="0.35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 x14ac:dyDescent="0.35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 x14ac:dyDescent="0.35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 x14ac:dyDescent="0.35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 x14ac:dyDescent="0.35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 x14ac:dyDescent="0.35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 x14ac:dyDescent="0.35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 x14ac:dyDescent="0.35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 x14ac:dyDescent="0.35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 x14ac:dyDescent="0.35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 x14ac:dyDescent="0.35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 x14ac:dyDescent="0.35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 x14ac:dyDescent="0.35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 x14ac:dyDescent="0.35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 x14ac:dyDescent="0.35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 x14ac:dyDescent="0.35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 x14ac:dyDescent="0.35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 x14ac:dyDescent="0.35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 x14ac:dyDescent="0.35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 x14ac:dyDescent="0.35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 x14ac:dyDescent="0.35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 x14ac:dyDescent="0.35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 x14ac:dyDescent="0.35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 x14ac:dyDescent="0.35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 x14ac:dyDescent="0.35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 x14ac:dyDescent="0.35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 x14ac:dyDescent="0.35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 x14ac:dyDescent="0.35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 x14ac:dyDescent="0.35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 x14ac:dyDescent="0.35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 x14ac:dyDescent="0.35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 x14ac:dyDescent="0.35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 x14ac:dyDescent="0.35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 x14ac:dyDescent="0.35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 x14ac:dyDescent="0.35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 x14ac:dyDescent="0.35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 x14ac:dyDescent="0.35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 x14ac:dyDescent="0.35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 x14ac:dyDescent="0.35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 x14ac:dyDescent="0.35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 x14ac:dyDescent="0.35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 x14ac:dyDescent="0.35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 x14ac:dyDescent="0.35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 x14ac:dyDescent="0.35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 x14ac:dyDescent="0.35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 x14ac:dyDescent="0.35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 x14ac:dyDescent="0.35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 x14ac:dyDescent="0.35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 x14ac:dyDescent="0.35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 x14ac:dyDescent="0.35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 x14ac:dyDescent="0.35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 x14ac:dyDescent="0.35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 x14ac:dyDescent="0.35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 x14ac:dyDescent="0.35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 x14ac:dyDescent="0.35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 x14ac:dyDescent="0.35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 x14ac:dyDescent="0.35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 x14ac:dyDescent="0.35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 x14ac:dyDescent="0.35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 x14ac:dyDescent="0.35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 x14ac:dyDescent="0.35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 x14ac:dyDescent="0.35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 x14ac:dyDescent="0.35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 x14ac:dyDescent="0.35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 x14ac:dyDescent="0.35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 x14ac:dyDescent="0.35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 x14ac:dyDescent="0.35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 x14ac:dyDescent="0.35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 x14ac:dyDescent="0.35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 x14ac:dyDescent="0.35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 x14ac:dyDescent="0.35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 x14ac:dyDescent="0.35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 x14ac:dyDescent="0.35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 x14ac:dyDescent="0.35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 x14ac:dyDescent="0.35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 x14ac:dyDescent="0.35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 x14ac:dyDescent="0.35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 x14ac:dyDescent="0.35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 x14ac:dyDescent="0.35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 x14ac:dyDescent="0.35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 x14ac:dyDescent="0.35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 x14ac:dyDescent="0.35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 x14ac:dyDescent="0.35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 x14ac:dyDescent="0.35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 x14ac:dyDescent="0.35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 x14ac:dyDescent="0.35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 x14ac:dyDescent="0.35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 x14ac:dyDescent="0.35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 x14ac:dyDescent="0.35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 x14ac:dyDescent="0.35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 x14ac:dyDescent="0.35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 x14ac:dyDescent="0.35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 x14ac:dyDescent="0.35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 x14ac:dyDescent="0.35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 x14ac:dyDescent="0.35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 x14ac:dyDescent="0.35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 x14ac:dyDescent="0.35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 x14ac:dyDescent="0.35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 x14ac:dyDescent="0.35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 x14ac:dyDescent="0.35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 x14ac:dyDescent="0.35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 x14ac:dyDescent="0.35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 x14ac:dyDescent="0.35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 x14ac:dyDescent="0.35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 x14ac:dyDescent="0.35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 x14ac:dyDescent="0.35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 x14ac:dyDescent="0.35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 x14ac:dyDescent="0.35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 x14ac:dyDescent="0.35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 x14ac:dyDescent="0.35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 x14ac:dyDescent="0.35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 x14ac:dyDescent="0.35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 x14ac:dyDescent="0.35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 x14ac:dyDescent="0.35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 x14ac:dyDescent="0.35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 x14ac:dyDescent="0.35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 x14ac:dyDescent="0.35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 x14ac:dyDescent="0.35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 x14ac:dyDescent="0.35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 x14ac:dyDescent="0.35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 x14ac:dyDescent="0.35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 x14ac:dyDescent="0.35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 x14ac:dyDescent="0.35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 x14ac:dyDescent="0.35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 x14ac:dyDescent="0.35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 x14ac:dyDescent="0.35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 x14ac:dyDescent="0.35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 x14ac:dyDescent="0.35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 x14ac:dyDescent="0.35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 x14ac:dyDescent="0.35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 x14ac:dyDescent="0.35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 x14ac:dyDescent="0.35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 x14ac:dyDescent="0.35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 x14ac:dyDescent="0.35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 x14ac:dyDescent="0.35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 x14ac:dyDescent="0.35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 x14ac:dyDescent="0.35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 x14ac:dyDescent="0.35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 x14ac:dyDescent="0.35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 x14ac:dyDescent="0.35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 x14ac:dyDescent="0.35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 x14ac:dyDescent="0.35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 x14ac:dyDescent="0.35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 x14ac:dyDescent="0.35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 x14ac:dyDescent="0.35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 x14ac:dyDescent="0.35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 x14ac:dyDescent="0.35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 x14ac:dyDescent="0.35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 x14ac:dyDescent="0.35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 x14ac:dyDescent="0.35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 x14ac:dyDescent="0.35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 x14ac:dyDescent="0.35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 x14ac:dyDescent="0.35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 x14ac:dyDescent="0.35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 x14ac:dyDescent="0.35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 x14ac:dyDescent="0.35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 x14ac:dyDescent="0.35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 x14ac:dyDescent="0.35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 x14ac:dyDescent="0.35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 x14ac:dyDescent="0.35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 x14ac:dyDescent="0.35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 x14ac:dyDescent="0.35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 x14ac:dyDescent="0.35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 x14ac:dyDescent="0.35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 x14ac:dyDescent="0.35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 x14ac:dyDescent="0.35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 x14ac:dyDescent="0.35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 x14ac:dyDescent="0.35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 x14ac:dyDescent="0.35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 x14ac:dyDescent="0.35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 x14ac:dyDescent="0.35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 x14ac:dyDescent="0.35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 x14ac:dyDescent="0.35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 x14ac:dyDescent="0.35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 x14ac:dyDescent="0.35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 x14ac:dyDescent="0.35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 x14ac:dyDescent="0.35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 x14ac:dyDescent="0.35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 x14ac:dyDescent="0.35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 x14ac:dyDescent="0.35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 x14ac:dyDescent="0.35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 x14ac:dyDescent="0.35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 x14ac:dyDescent="0.35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 x14ac:dyDescent="0.35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 x14ac:dyDescent="0.35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 x14ac:dyDescent="0.35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 x14ac:dyDescent="0.35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 x14ac:dyDescent="0.35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 x14ac:dyDescent="0.35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 x14ac:dyDescent="0.35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 x14ac:dyDescent="0.35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 x14ac:dyDescent="0.35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 x14ac:dyDescent="0.35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 x14ac:dyDescent="0.35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 x14ac:dyDescent="0.35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 x14ac:dyDescent="0.35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 x14ac:dyDescent="0.35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 x14ac:dyDescent="0.35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 x14ac:dyDescent="0.35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 x14ac:dyDescent="0.35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 x14ac:dyDescent="0.35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 x14ac:dyDescent="0.35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 x14ac:dyDescent="0.35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 x14ac:dyDescent="0.35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 x14ac:dyDescent="0.35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 x14ac:dyDescent="0.35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 x14ac:dyDescent="0.35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 x14ac:dyDescent="0.35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 x14ac:dyDescent="0.35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 x14ac:dyDescent="0.35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 x14ac:dyDescent="0.35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 x14ac:dyDescent="0.35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 x14ac:dyDescent="0.35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 x14ac:dyDescent="0.35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 x14ac:dyDescent="0.35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 x14ac:dyDescent="0.35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 x14ac:dyDescent="0.35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 x14ac:dyDescent="0.35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 x14ac:dyDescent="0.35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 x14ac:dyDescent="0.35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 x14ac:dyDescent="0.35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 x14ac:dyDescent="0.35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 x14ac:dyDescent="0.35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 x14ac:dyDescent="0.35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 x14ac:dyDescent="0.35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 x14ac:dyDescent="0.35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 x14ac:dyDescent="0.35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 x14ac:dyDescent="0.35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 x14ac:dyDescent="0.35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 x14ac:dyDescent="0.35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 x14ac:dyDescent="0.35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 x14ac:dyDescent="0.35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 x14ac:dyDescent="0.35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 x14ac:dyDescent="0.35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 x14ac:dyDescent="0.35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 x14ac:dyDescent="0.35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 x14ac:dyDescent="0.35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 x14ac:dyDescent="0.35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 x14ac:dyDescent="0.35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 x14ac:dyDescent="0.35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 x14ac:dyDescent="0.35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 x14ac:dyDescent="0.35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 x14ac:dyDescent="0.35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 x14ac:dyDescent="0.35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 x14ac:dyDescent="0.35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 x14ac:dyDescent="0.35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 x14ac:dyDescent="0.35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 x14ac:dyDescent="0.35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 x14ac:dyDescent="0.35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 x14ac:dyDescent="0.35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 x14ac:dyDescent="0.35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 x14ac:dyDescent="0.35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 x14ac:dyDescent="0.35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 x14ac:dyDescent="0.35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 x14ac:dyDescent="0.35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 x14ac:dyDescent="0.35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 x14ac:dyDescent="0.35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 x14ac:dyDescent="0.35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 x14ac:dyDescent="0.35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 x14ac:dyDescent="0.35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 x14ac:dyDescent="0.35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 x14ac:dyDescent="0.35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 x14ac:dyDescent="0.35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 x14ac:dyDescent="0.35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 x14ac:dyDescent="0.35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 x14ac:dyDescent="0.35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 x14ac:dyDescent="0.35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 x14ac:dyDescent="0.35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 x14ac:dyDescent="0.35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 x14ac:dyDescent="0.35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 x14ac:dyDescent="0.35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 x14ac:dyDescent="0.35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 x14ac:dyDescent="0.35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 x14ac:dyDescent="0.35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 x14ac:dyDescent="0.35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 x14ac:dyDescent="0.35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 x14ac:dyDescent="0.35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 x14ac:dyDescent="0.35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 x14ac:dyDescent="0.35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 x14ac:dyDescent="0.35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 x14ac:dyDescent="0.35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 x14ac:dyDescent="0.35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 x14ac:dyDescent="0.35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 x14ac:dyDescent="0.35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 x14ac:dyDescent="0.35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 x14ac:dyDescent="0.35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 x14ac:dyDescent="0.35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 x14ac:dyDescent="0.35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 x14ac:dyDescent="0.35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 x14ac:dyDescent="0.35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 x14ac:dyDescent="0.35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 x14ac:dyDescent="0.35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 x14ac:dyDescent="0.35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 x14ac:dyDescent="0.35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 x14ac:dyDescent="0.35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 x14ac:dyDescent="0.35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 x14ac:dyDescent="0.35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 x14ac:dyDescent="0.35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 x14ac:dyDescent="0.35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 x14ac:dyDescent="0.35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 x14ac:dyDescent="0.35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 x14ac:dyDescent="0.35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 x14ac:dyDescent="0.35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 x14ac:dyDescent="0.35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 x14ac:dyDescent="0.35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 x14ac:dyDescent="0.35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 x14ac:dyDescent="0.35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 x14ac:dyDescent="0.35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 x14ac:dyDescent="0.35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 x14ac:dyDescent="0.35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 x14ac:dyDescent="0.35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 x14ac:dyDescent="0.35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 x14ac:dyDescent="0.35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 x14ac:dyDescent="0.35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 x14ac:dyDescent="0.35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 x14ac:dyDescent="0.35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 x14ac:dyDescent="0.35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 x14ac:dyDescent="0.35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 x14ac:dyDescent="0.35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 x14ac:dyDescent="0.35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 x14ac:dyDescent="0.35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 x14ac:dyDescent="0.35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 x14ac:dyDescent="0.35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 x14ac:dyDescent="0.35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 x14ac:dyDescent="0.35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 x14ac:dyDescent="0.35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 x14ac:dyDescent="0.35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 x14ac:dyDescent="0.35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 x14ac:dyDescent="0.35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 x14ac:dyDescent="0.35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 x14ac:dyDescent="0.35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 x14ac:dyDescent="0.35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 x14ac:dyDescent="0.35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 x14ac:dyDescent="0.35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 x14ac:dyDescent="0.35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 x14ac:dyDescent="0.35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 x14ac:dyDescent="0.35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 x14ac:dyDescent="0.35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 x14ac:dyDescent="0.35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 x14ac:dyDescent="0.35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 x14ac:dyDescent="0.35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 x14ac:dyDescent="0.35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 x14ac:dyDescent="0.35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 x14ac:dyDescent="0.35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 x14ac:dyDescent="0.35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 x14ac:dyDescent="0.35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 x14ac:dyDescent="0.35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 x14ac:dyDescent="0.35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 x14ac:dyDescent="0.35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 x14ac:dyDescent="0.35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 x14ac:dyDescent="0.35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 x14ac:dyDescent="0.35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 x14ac:dyDescent="0.35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 x14ac:dyDescent="0.35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 x14ac:dyDescent="0.35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 x14ac:dyDescent="0.35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 x14ac:dyDescent="0.35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 x14ac:dyDescent="0.35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 x14ac:dyDescent="0.35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 x14ac:dyDescent="0.35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 x14ac:dyDescent="0.35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 x14ac:dyDescent="0.35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 x14ac:dyDescent="0.35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 x14ac:dyDescent="0.35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 x14ac:dyDescent="0.35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 x14ac:dyDescent="0.35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 x14ac:dyDescent="0.35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 x14ac:dyDescent="0.35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 x14ac:dyDescent="0.35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 x14ac:dyDescent="0.35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 x14ac:dyDescent="0.35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 x14ac:dyDescent="0.35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 x14ac:dyDescent="0.35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 x14ac:dyDescent="0.35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 x14ac:dyDescent="0.35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 x14ac:dyDescent="0.35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 x14ac:dyDescent="0.35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 x14ac:dyDescent="0.35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 x14ac:dyDescent="0.35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 x14ac:dyDescent="0.35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 x14ac:dyDescent="0.35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 x14ac:dyDescent="0.35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 x14ac:dyDescent="0.35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 x14ac:dyDescent="0.35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 x14ac:dyDescent="0.35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 x14ac:dyDescent="0.35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 x14ac:dyDescent="0.35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 x14ac:dyDescent="0.35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 x14ac:dyDescent="0.35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 x14ac:dyDescent="0.35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 x14ac:dyDescent="0.35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 x14ac:dyDescent="0.35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 x14ac:dyDescent="0.35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 x14ac:dyDescent="0.35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 x14ac:dyDescent="0.35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 x14ac:dyDescent="0.35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 x14ac:dyDescent="0.35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 x14ac:dyDescent="0.35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 x14ac:dyDescent="0.35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 x14ac:dyDescent="0.35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 x14ac:dyDescent="0.35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 x14ac:dyDescent="0.35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 x14ac:dyDescent="0.35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 x14ac:dyDescent="0.35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 x14ac:dyDescent="0.35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 x14ac:dyDescent="0.35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 x14ac:dyDescent="0.35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 x14ac:dyDescent="0.35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 x14ac:dyDescent="0.35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 x14ac:dyDescent="0.35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 x14ac:dyDescent="0.35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 x14ac:dyDescent="0.35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 x14ac:dyDescent="0.35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 x14ac:dyDescent="0.35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 x14ac:dyDescent="0.35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 x14ac:dyDescent="0.35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 x14ac:dyDescent="0.35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 x14ac:dyDescent="0.35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 x14ac:dyDescent="0.35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 x14ac:dyDescent="0.35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 x14ac:dyDescent="0.35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 x14ac:dyDescent="0.35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 x14ac:dyDescent="0.35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 x14ac:dyDescent="0.35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 x14ac:dyDescent="0.35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 x14ac:dyDescent="0.35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 x14ac:dyDescent="0.35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 x14ac:dyDescent="0.35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 x14ac:dyDescent="0.35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 x14ac:dyDescent="0.35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 x14ac:dyDescent="0.35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 x14ac:dyDescent="0.35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 x14ac:dyDescent="0.35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 x14ac:dyDescent="0.35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 x14ac:dyDescent="0.35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 x14ac:dyDescent="0.35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 x14ac:dyDescent="0.35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 x14ac:dyDescent="0.35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 x14ac:dyDescent="0.35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 x14ac:dyDescent="0.35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 x14ac:dyDescent="0.35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 x14ac:dyDescent="0.35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 x14ac:dyDescent="0.35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 x14ac:dyDescent="0.35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 x14ac:dyDescent="0.35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 x14ac:dyDescent="0.35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 x14ac:dyDescent="0.35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 x14ac:dyDescent="0.35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 x14ac:dyDescent="0.35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 x14ac:dyDescent="0.35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 x14ac:dyDescent="0.35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 x14ac:dyDescent="0.35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 x14ac:dyDescent="0.35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 x14ac:dyDescent="0.35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 x14ac:dyDescent="0.35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 x14ac:dyDescent="0.35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 x14ac:dyDescent="0.35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 x14ac:dyDescent="0.35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 x14ac:dyDescent="0.35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 x14ac:dyDescent="0.35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 x14ac:dyDescent="0.35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 x14ac:dyDescent="0.35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 x14ac:dyDescent="0.35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 x14ac:dyDescent="0.35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 x14ac:dyDescent="0.35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 x14ac:dyDescent="0.35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 x14ac:dyDescent="0.35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 x14ac:dyDescent="0.35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 x14ac:dyDescent="0.35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 x14ac:dyDescent="0.35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 x14ac:dyDescent="0.35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 x14ac:dyDescent="0.35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 x14ac:dyDescent="0.35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 x14ac:dyDescent="0.35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 x14ac:dyDescent="0.35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 x14ac:dyDescent="0.35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 x14ac:dyDescent="0.35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 x14ac:dyDescent="0.35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 x14ac:dyDescent="0.35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 x14ac:dyDescent="0.35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 x14ac:dyDescent="0.35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 x14ac:dyDescent="0.35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 x14ac:dyDescent="0.35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 x14ac:dyDescent="0.35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 x14ac:dyDescent="0.35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 x14ac:dyDescent="0.35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 x14ac:dyDescent="0.35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 x14ac:dyDescent="0.35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 x14ac:dyDescent="0.35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 x14ac:dyDescent="0.35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 x14ac:dyDescent="0.35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 x14ac:dyDescent="0.35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 x14ac:dyDescent="0.35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 x14ac:dyDescent="0.35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 x14ac:dyDescent="0.35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 x14ac:dyDescent="0.35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 x14ac:dyDescent="0.35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 x14ac:dyDescent="0.35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 x14ac:dyDescent="0.35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 x14ac:dyDescent="0.35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 x14ac:dyDescent="0.35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 x14ac:dyDescent="0.35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 x14ac:dyDescent="0.35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 x14ac:dyDescent="0.35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 x14ac:dyDescent="0.35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 x14ac:dyDescent="0.35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 x14ac:dyDescent="0.35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 x14ac:dyDescent="0.35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 x14ac:dyDescent="0.35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 x14ac:dyDescent="0.35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 x14ac:dyDescent="0.35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 x14ac:dyDescent="0.35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 x14ac:dyDescent="0.35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 x14ac:dyDescent="0.35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 x14ac:dyDescent="0.35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 x14ac:dyDescent="0.35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 x14ac:dyDescent="0.35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 x14ac:dyDescent="0.35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 x14ac:dyDescent="0.35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 x14ac:dyDescent="0.35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 x14ac:dyDescent="0.35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 x14ac:dyDescent="0.35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 x14ac:dyDescent="0.35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 x14ac:dyDescent="0.35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 x14ac:dyDescent="0.35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 x14ac:dyDescent="0.35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 x14ac:dyDescent="0.35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 x14ac:dyDescent="0.35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 x14ac:dyDescent="0.35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 x14ac:dyDescent="0.35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 x14ac:dyDescent="0.35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 x14ac:dyDescent="0.35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 x14ac:dyDescent="0.35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 x14ac:dyDescent="0.35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 x14ac:dyDescent="0.35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 x14ac:dyDescent="0.35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 x14ac:dyDescent="0.35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 x14ac:dyDescent="0.35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 x14ac:dyDescent="0.35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 x14ac:dyDescent="0.35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 x14ac:dyDescent="0.35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 x14ac:dyDescent="0.35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 x14ac:dyDescent="0.35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 x14ac:dyDescent="0.35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 x14ac:dyDescent="0.35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 x14ac:dyDescent="0.35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 x14ac:dyDescent="0.35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 x14ac:dyDescent="0.35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 x14ac:dyDescent="0.35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 x14ac:dyDescent="0.35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 x14ac:dyDescent="0.35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 x14ac:dyDescent="0.35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 x14ac:dyDescent="0.35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 x14ac:dyDescent="0.35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 x14ac:dyDescent="0.35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 x14ac:dyDescent="0.35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 x14ac:dyDescent="0.35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 x14ac:dyDescent="0.35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 x14ac:dyDescent="0.35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 x14ac:dyDescent="0.35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 x14ac:dyDescent="0.35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 x14ac:dyDescent="0.35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 x14ac:dyDescent="0.35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 x14ac:dyDescent="0.35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 x14ac:dyDescent="0.35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 x14ac:dyDescent="0.35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 x14ac:dyDescent="0.35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 x14ac:dyDescent="0.35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 x14ac:dyDescent="0.35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 x14ac:dyDescent="0.35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 x14ac:dyDescent="0.35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 x14ac:dyDescent="0.35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 x14ac:dyDescent="0.35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 x14ac:dyDescent="0.35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 x14ac:dyDescent="0.35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 x14ac:dyDescent="0.35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 x14ac:dyDescent="0.35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 x14ac:dyDescent="0.35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 x14ac:dyDescent="0.35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 x14ac:dyDescent="0.35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 x14ac:dyDescent="0.35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 x14ac:dyDescent="0.35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 x14ac:dyDescent="0.35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 x14ac:dyDescent="0.35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 x14ac:dyDescent="0.35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 x14ac:dyDescent="0.35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 x14ac:dyDescent="0.35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 x14ac:dyDescent="0.35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 x14ac:dyDescent="0.35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 x14ac:dyDescent="0.35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 x14ac:dyDescent="0.35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 x14ac:dyDescent="0.35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 x14ac:dyDescent="0.35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 x14ac:dyDescent="0.35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 x14ac:dyDescent="0.35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 x14ac:dyDescent="0.35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 x14ac:dyDescent="0.35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 x14ac:dyDescent="0.35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 x14ac:dyDescent="0.35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 x14ac:dyDescent="0.35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 x14ac:dyDescent="0.35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 x14ac:dyDescent="0.35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 x14ac:dyDescent="0.35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 x14ac:dyDescent="0.35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 x14ac:dyDescent="0.35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 x14ac:dyDescent="0.35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 x14ac:dyDescent="0.35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 x14ac:dyDescent="0.35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 x14ac:dyDescent="0.35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 x14ac:dyDescent="0.35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 x14ac:dyDescent="0.35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 x14ac:dyDescent="0.35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 x14ac:dyDescent="0.35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 x14ac:dyDescent="0.35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 x14ac:dyDescent="0.35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 x14ac:dyDescent="0.35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 x14ac:dyDescent="0.35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 x14ac:dyDescent="0.35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 x14ac:dyDescent="0.35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 x14ac:dyDescent="0.35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 x14ac:dyDescent="0.35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 x14ac:dyDescent="0.35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 x14ac:dyDescent="0.35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 x14ac:dyDescent="0.35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 x14ac:dyDescent="0.35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 x14ac:dyDescent="0.35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 x14ac:dyDescent="0.35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 x14ac:dyDescent="0.35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 x14ac:dyDescent="0.35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 x14ac:dyDescent="0.35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 x14ac:dyDescent="0.35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 x14ac:dyDescent="0.35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 x14ac:dyDescent="0.35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 x14ac:dyDescent="0.35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 x14ac:dyDescent="0.35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 x14ac:dyDescent="0.35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 x14ac:dyDescent="0.35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 x14ac:dyDescent="0.35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 x14ac:dyDescent="0.35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 x14ac:dyDescent="0.35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 x14ac:dyDescent="0.35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 x14ac:dyDescent="0.35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 x14ac:dyDescent="0.35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 x14ac:dyDescent="0.35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 x14ac:dyDescent="0.35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 x14ac:dyDescent="0.35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 x14ac:dyDescent="0.35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 x14ac:dyDescent="0.35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 x14ac:dyDescent="0.35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 x14ac:dyDescent="0.35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 x14ac:dyDescent="0.35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 x14ac:dyDescent="0.35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 x14ac:dyDescent="0.35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 x14ac:dyDescent="0.35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 x14ac:dyDescent="0.35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 x14ac:dyDescent="0.35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 x14ac:dyDescent="0.35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 x14ac:dyDescent="0.35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 x14ac:dyDescent="0.35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 x14ac:dyDescent="0.35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 x14ac:dyDescent="0.35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 x14ac:dyDescent="0.35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 x14ac:dyDescent="0.35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 x14ac:dyDescent="0.35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 x14ac:dyDescent="0.35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 x14ac:dyDescent="0.35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 x14ac:dyDescent="0.35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 x14ac:dyDescent="0.35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 x14ac:dyDescent="0.35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 x14ac:dyDescent="0.35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 x14ac:dyDescent="0.35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 x14ac:dyDescent="0.35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 x14ac:dyDescent="0.35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 x14ac:dyDescent="0.35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 x14ac:dyDescent="0.35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 x14ac:dyDescent="0.35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 x14ac:dyDescent="0.35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 x14ac:dyDescent="0.35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 x14ac:dyDescent="0.35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 x14ac:dyDescent="0.35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 x14ac:dyDescent="0.35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 x14ac:dyDescent="0.35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 x14ac:dyDescent="0.35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 x14ac:dyDescent="0.35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 x14ac:dyDescent="0.35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 x14ac:dyDescent="0.35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 x14ac:dyDescent="0.35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 x14ac:dyDescent="0.35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 x14ac:dyDescent="0.35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 x14ac:dyDescent="0.35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 x14ac:dyDescent="0.35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 x14ac:dyDescent="0.35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 x14ac:dyDescent="0.35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 x14ac:dyDescent="0.35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 x14ac:dyDescent="0.35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 x14ac:dyDescent="0.35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 x14ac:dyDescent="0.35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 x14ac:dyDescent="0.35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 x14ac:dyDescent="0.35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 x14ac:dyDescent="0.35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 x14ac:dyDescent="0.35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 x14ac:dyDescent="0.35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 x14ac:dyDescent="0.35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 x14ac:dyDescent="0.35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 x14ac:dyDescent="0.35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 x14ac:dyDescent="0.35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 x14ac:dyDescent="0.35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 x14ac:dyDescent="0.35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 x14ac:dyDescent="0.35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 x14ac:dyDescent="0.35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 x14ac:dyDescent="0.35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 x14ac:dyDescent="0.35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 x14ac:dyDescent="0.35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 x14ac:dyDescent="0.35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 x14ac:dyDescent="0.35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 x14ac:dyDescent="0.35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 x14ac:dyDescent="0.35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 x14ac:dyDescent="0.35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 x14ac:dyDescent="0.35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 x14ac:dyDescent="0.35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 x14ac:dyDescent="0.35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 x14ac:dyDescent="0.35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 x14ac:dyDescent="0.35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 x14ac:dyDescent="0.35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 x14ac:dyDescent="0.35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 x14ac:dyDescent="0.35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 x14ac:dyDescent="0.35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 x14ac:dyDescent="0.35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 x14ac:dyDescent="0.35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 x14ac:dyDescent="0.35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 x14ac:dyDescent="0.35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 x14ac:dyDescent="0.35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 x14ac:dyDescent="0.35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 x14ac:dyDescent="0.35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 x14ac:dyDescent="0.35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 x14ac:dyDescent="0.35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 x14ac:dyDescent="0.35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 x14ac:dyDescent="0.35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 x14ac:dyDescent="0.35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 x14ac:dyDescent="0.35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 x14ac:dyDescent="0.35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 x14ac:dyDescent="0.35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 x14ac:dyDescent="0.35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 x14ac:dyDescent="0.35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 x14ac:dyDescent="0.35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 x14ac:dyDescent="0.35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 x14ac:dyDescent="0.35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 x14ac:dyDescent="0.35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 x14ac:dyDescent="0.35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 x14ac:dyDescent="0.35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 x14ac:dyDescent="0.35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 x14ac:dyDescent="0.35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 x14ac:dyDescent="0.35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 x14ac:dyDescent="0.35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 x14ac:dyDescent="0.35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 x14ac:dyDescent="0.35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 x14ac:dyDescent="0.35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 x14ac:dyDescent="0.35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 x14ac:dyDescent="0.35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 x14ac:dyDescent="0.35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 x14ac:dyDescent="0.35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 x14ac:dyDescent="0.35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 x14ac:dyDescent="0.35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 x14ac:dyDescent="0.35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 x14ac:dyDescent="0.35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 x14ac:dyDescent="0.35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 x14ac:dyDescent="0.35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 x14ac:dyDescent="0.35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 x14ac:dyDescent="0.35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 x14ac:dyDescent="0.35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 x14ac:dyDescent="0.35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 x14ac:dyDescent="0.35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 x14ac:dyDescent="0.35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 x14ac:dyDescent="0.35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 x14ac:dyDescent="0.35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 x14ac:dyDescent="0.35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 x14ac:dyDescent="0.35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 x14ac:dyDescent="0.35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 x14ac:dyDescent="0.35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 x14ac:dyDescent="0.35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 x14ac:dyDescent="0.35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 x14ac:dyDescent="0.35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 x14ac:dyDescent="0.35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 x14ac:dyDescent="0.35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 x14ac:dyDescent="0.35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 x14ac:dyDescent="0.35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 x14ac:dyDescent="0.35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 x14ac:dyDescent="0.35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 x14ac:dyDescent="0.35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 x14ac:dyDescent="0.35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 x14ac:dyDescent="0.35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 x14ac:dyDescent="0.35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 x14ac:dyDescent="0.35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 x14ac:dyDescent="0.35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 x14ac:dyDescent="0.35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 x14ac:dyDescent="0.35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 x14ac:dyDescent="0.35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 x14ac:dyDescent="0.35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 x14ac:dyDescent="0.35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 x14ac:dyDescent="0.35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 x14ac:dyDescent="0.35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 x14ac:dyDescent="0.35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 x14ac:dyDescent="0.35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 x14ac:dyDescent="0.35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 x14ac:dyDescent="0.35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 x14ac:dyDescent="0.35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 x14ac:dyDescent="0.35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 x14ac:dyDescent="0.35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 x14ac:dyDescent="0.35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 x14ac:dyDescent="0.35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 x14ac:dyDescent="0.35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 x14ac:dyDescent="0.35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 x14ac:dyDescent="0.35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 x14ac:dyDescent="0.35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 x14ac:dyDescent="0.35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 x14ac:dyDescent="0.35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 x14ac:dyDescent="0.35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 x14ac:dyDescent="0.35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 x14ac:dyDescent="0.35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 x14ac:dyDescent="0.35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 x14ac:dyDescent="0.35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 x14ac:dyDescent="0.35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 x14ac:dyDescent="0.35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 x14ac:dyDescent="0.35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 x14ac:dyDescent="0.35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 x14ac:dyDescent="0.35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 x14ac:dyDescent="0.35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 x14ac:dyDescent="0.35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 x14ac:dyDescent="0.35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 x14ac:dyDescent="0.35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 x14ac:dyDescent="0.35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 x14ac:dyDescent="0.35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 x14ac:dyDescent="0.35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 x14ac:dyDescent="0.35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 x14ac:dyDescent="0.35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 x14ac:dyDescent="0.35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 x14ac:dyDescent="0.35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 x14ac:dyDescent="0.35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 x14ac:dyDescent="0.35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 x14ac:dyDescent="0.35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 x14ac:dyDescent="0.35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 x14ac:dyDescent="0.35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 x14ac:dyDescent="0.35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 x14ac:dyDescent="0.35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 x14ac:dyDescent="0.35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 x14ac:dyDescent="0.35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 x14ac:dyDescent="0.35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 x14ac:dyDescent="0.35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 x14ac:dyDescent="0.35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 x14ac:dyDescent="0.35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 x14ac:dyDescent="0.35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 x14ac:dyDescent="0.35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 x14ac:dyDescent="0.35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 x14ac:dyDescent="0.35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 x14ac:dyDescent="0.35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 x14ac:dyDescent="0.35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 x14ac:dyDescent="0.35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 x14ac:dyDescent="0.35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 x14ac:dyDescent="0.35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 x14ac:dyDescent="0.35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 x14ac:dyDescent="0.35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 x14ac:dyDescent="0.35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 x14ac:dyDescent="0.35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 x14ac:dyDescent="0.35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 x14ac:dyDescent="0.35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 x14ac:dyDescent="0.35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 x14ac:dyDescent="0.35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 x14ac:dyDescent="0.35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 x14ac:dyDescent="0.35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 x14ac:dyDescent="0.35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 x14ac:dyDescent="0.35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 x14ac:dyDescent="0.35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 x14ac:dyDescent="0.35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 x14ac:dyDescent="0.35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 x14ac:dyDescent="0.35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 x14ac:dyDescent="0.35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 x14ac:dyDescent="0.35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 x14ac:dyDescent="0.35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 x14ac:dyDescent="0.35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 x14ac:dyDescent="0.35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 x14ac:dyDescent="0.35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 x14ac:dyDescent="0.35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 x14ac:dyDescent="0.35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 x14ac:dyDescent="0.35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 x14ac:dyDescent="0.35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 x14ac:dyDescent="0.35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 x14ac:dyDescent="0.35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 x14ac:dyDescent="0.35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 x14ac:dyDescent="0.35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 x14ac:dyDescent="0.35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 x14ac:dyDescent="0.35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 x14ac:dyDescent="0.35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 x14ac:dyDescent="0.35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 x14ac:dyDescent="0.35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 x14ac:dyDescent="0.35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 x14ac:dyDescent="0.35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 x14ac:dyDescent="0.35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 x14ac:dyDescent="0.35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 x14ac:dyDescent="0.35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 x14ac:dyDescent="0.35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 x14ac:dyDescent="0.35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 x14ac:dyDescent="0.35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 x14ac:dyDescent="0.35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 x14ac:dyDescent="0.35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 x14ac:dyDescent="0.35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 x14ac:dyDescent="0.35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 x14ac:dyDescent="0.35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 x14ac:dyDescent="0.35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 x14ac:dyDescent="0.35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 x14ac:dyDescent="0.35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 x14ac:dyDescent="0.35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 x14ac:dyDescent="0.35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 x14ac:dyDescent="0.35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 x14ac:dyDescent="0.35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 x14ac:dyDescent="0.35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 x14ac:dyDescent="0.35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 x14ac:dyDescent="0.35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 x14ac:dyDescent="0.35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 x14ac:dyDescent="0.35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 x14ac:dyDescent="0.35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 x14ac:dyDescent="0.35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 x14ac:dyDescent="0.35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 x14ac:dyDescent="0.35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 x14ac:dyDescent="0.35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 x14ac:dyDescent="0.35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 x14ac:dyDescent="0.35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 x14ac:dyDescent="0.35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 x14ac:dyDescent="0.35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 x14ac:dyDescent="0.35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 x14ac:dyDescent="0.35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 x14ac:dyDescent="0.35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 x14ac:dyDescent="0.35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 x14ac:dyDescent="0.35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 x14ac:dyDescent="0.35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 x14ac:dyDescent="0.35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 x14ac:dyDescent="0.35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 x14ac:dyDescent="0.35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 x14ac:dyDescent="0.35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 x14ac:dyDescent="0.35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 x14ac:dyDescent="0.35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 x14ac:dyDescent="0.35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 x14ac:dyDescent="0.35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 x14ac:dyDescent="0.35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 x14ac:dyDescent="0.35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 x14ac:dyDescent="0.35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 x14ac:dyDescent="0.35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 x14ac:dyDescent="0.35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 x14ac:dyDescent="0.35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 x14ac:dyDescent="0.35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 x14ac:dyDescent="0.35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 x14ac:dyDescent="0.35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 x14ac:dyDescent="0.35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 x14ac:dyDescent="0.35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 x14ac:dyDescent="0.35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 x14ac:dyDescent="0.35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 x14ac:dyDescent="0.35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 x14ac:dyDescent="0.35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 x14ac:dyDescent="0.35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 x14ac:dyDescent="0.35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 x14ac:dyDescent="0.35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 x14ac:dyDescent="0.35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 x14ac:dyDescent="0.35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 x14ac:dyDescent="0.35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 x14ac:dyDescent="0.35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 x14ac:dyDescent="0.35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 x14ac:dyDescent="0.35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 x14ac:dyDescent="0.35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 x14ac:dyDescent="0.35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 x14ac:dyDescent="0.35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 x14ac:dyDescent="0.35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 x14ac:dyDescent="0.35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 x14ac:dyDescent="0.35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 x14ac:dyDescent="0.35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 x14ac:dyDescent="0.35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 x14ac:dyDescent="0.35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 x14ac:dyDescent="0.35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 x14ac:dyDescent="0.35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 x14ac:dyDescent="0.35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 x14ac:dyDescent="0.35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 x14ac:dyDescent="0.35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 x14ac:dyDescent="0.35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 x14ac:dyDescent="0.35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 x14ac:dyDescent="0.35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 x14ac:dyDescent="0.35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 x14ac:dyDescent="0.35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 x14ac:dyDescent="0.35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 x14ac:dyDescent="0.35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 x14ac:dyDescent="0.35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 x14ac:dyDescent="0.35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 x14ac:dyDescent="0.35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 x14ac:dyDescent="0.35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 x14ac:dyDescent="0.35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 x14ac:dyDescent="0.35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 x14ac:dyDescent="0.35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 x14ac:dyDescent="0.35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 x14ac:dyDescent="0.35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 x14ac:dyDescent="0.35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 x14ac:dyDescent="0.35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 x14ac:dyDescent="0.35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 x14ac:dyDescent="0.35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 x14ac:dyDescent="0.35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 x14ac:dyDescent="0.35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 x14ac:dyDescent="0.35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 x14ac:dyDescent="0.35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 x14ac:dyDescent="0.35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 x14ac:dyDescent="0.35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 x14ac:dyDescent="0.35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 x14ac:dyDescent="0.35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 x14ac:dyDescent="0.35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 x14ac:dyDescent="0.35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 x14ac:dyDescent="0.35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 x14ac:dyDescent="0.35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 x14ac:dyDescent="0.35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 x14ac:dyDescent="0.35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 x14ac:dyDescent="0.35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 x14ac:dyDescent="0.35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 x14ac:dyDescent="0.35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 x14ac:dyDescent="0.35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 x14ac:dyDescent="0.35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 x14ac:dyDescent="0.35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 x14ac:dyDescent="0.35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 x14ac:dyDescent="0.35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 x14ac:dyDescent="0.35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 x14ac:dyDescent="0.35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 x14ac:dyDescent="0.35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 x14ac:dyDescent="0.35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 x14ac:dyDescent="0.35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 x14ac:dyDescent="0.35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 x14ac:dyDescent="0.35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 x14ac:dyDescent="0.35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 x14ac:dyDescent="0.35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 x14ac:dyDescent="0.35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 x14ac:dyDescent="0.35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 x14ac:dyDescent="0.35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 x14ac:dyDescent="0.35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 x14ac:dyDescent="0.35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 x14ac:dyDescent="0.35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 x14ac:dyDescent="0.35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 x14ac:dyDescent="0.35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 x14ac:dyDescent="0.35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 x14ac:dyDescent="0.35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 x14ac:dyDescent="0.35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 x14ac:dyDescent="0.35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 x14ac:dyDescent="0.35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 x14ac:dyDescent="0.35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 x14ac:dyDescent="0.35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 x14ac:dyDescent="0.35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 x14ac:dyDescent="0.35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 x14ac:dyDescent="0.35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 x14ac:dyDescent="0.35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 x14ac:dyDescent="0.35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 x14ac:dyDescent="0.35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 x14ac:dyDescent="0.35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 x14ac:dyDescent="0.35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 x14ac:dyDescent="0.35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 x14ac:dyDescent="0.35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 x14ac:dyDescent="0.35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 x14ac:dyDescent="0.35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 x14ac:dyDescent="0.35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 x14ac:dyDescent="0.35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 x14ac:dyDescent="0.35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 x14ac:dyDescent="0.35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 x14ac:dyDescent="0.35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 x14ac:dyDescent="0.35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 x14ac:dyDescent="0.35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 x14ac:dyDescent="0.35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 x14ac:dyDescent="0.35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 x14ac:dyDescent="0.35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 x14ac:dyDescent="0.35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 x14ac:dyDescent="0.35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 x14ac:dyDescent="0.35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 x14ac:dyDescent="0.35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 x14ac:dyDescent="0.35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 x14ac:dyDescent="0.35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 x14ac:dyDescent="0.35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 x14ac:dyDescent="0.35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 x14ac:dyDescent="0.35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 x14ac:dyDescent="0.35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 x14ac:dyDescent="0.35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 x14ac:dyDescent="0.35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 x14ac:dyDescent="0.35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 x14ac:dyDescent="0.35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 x14ac:dyDescent="0.35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 x14ac:dyDescent="0.35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 x14ac:dyDescent="0.35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 x14ac:dyDescent="0.35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 x14ac:dyDescent="0.35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 x14ac:dyDescent="0.35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 x14ac:dyDescent="0.35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 x14ac:dyDescent="0.35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 x14ac:dyDescent="0.35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 x14ac:dyDescent="0.35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 x14ac:dyDescent="0.35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 x14ac:dyDescent="0.35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 x14ac:dyDescent="0.35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 x14ac:dyDescent="0.35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 x14ac:dyDescent="0.35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 x14ac:dyDescent="0.35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 x14ac:dyDescent="0.35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 x14ac:dyDescent="0.35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 x14ac:dyDescent="0.35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 x14ac:dyDescent="0.35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 x14ac:dyDescent="0.35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 x14ac:dyDescent="0.35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 x14ac:dyDescent="0.35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 x14ac:dyDescent="0.35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 x14ac:dyDescent="0.35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 x14ac:dyDescent="0.35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 x14ac:dyDescent="0.35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 x14ac:dyDescent="0.35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 x14ac:dyDescent="0.35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 x14ac:dyDescent="0.35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 x14ac:dyDescent="0.35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 x14ac:dyDescent="0.35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 x14ac:dyDescent="0.35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 x14ac:dyDescent="0.35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 x14ac:dyDescent="0.35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 x14ac:dyDescent="0.35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 x14ac:dyDescent="0.35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 x14ac:dyDescent="0.35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 x14ac:dyDescent="0.35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 x14ac:dyDescent="0.35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 x14ac:dyDescent="0.35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 x14ac:dyDescent="0.35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 x14ac:dyDescent="0.35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 x14ac:dyDescent="0.35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 x14ac:dyDescent="0.35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 x14ac:dyDescent="0.35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 x14ac:dyDescent="0.35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 x14ac:dyDescent="0.35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 x14ac:dyDescent="0.35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 x14ac:dyDescent="0.35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 x14ac:dyDescent="0.35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 x14ac:dyDescent="0.35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 x14ac:dyDescent="0.35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 x14ac:dyDescent="0.35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 x14ac:dyDescent="0.35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 x14ac:dyDescent="0.35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 x14ac:dyDescent="0.35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 x14ac:dyDescent="0.35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 x14ac:dyDescent="0.35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 x14ac:dyDescent="0.35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 x14ac:dyDescent="0.35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 x14ac:dyDescent="0.35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 x14ac:dyDescent="0.35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 x14ac:dyDescent="0.35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 x14ac:dyDescent="0.35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 x14ac:dyDescent="0.35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 x14ac:dyDescent="0.35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 x14ac:dyDescent="0.35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 x14ac:dyDescent="0.35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 x14ac:dyDescent="0.35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 x14ac:dyDescent="0.35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 x14ac:dyDescent="0.35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 x14ac:dyDescent="0.35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 x14ac:dyDescent="0.35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 x14ac:dyDescent="0.35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 x14ac:dyDescent="0.35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 x14ac:dyDescent="0.35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 x14ac:dyDescent="0.35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 x14ac:dyDescent="0.35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 x14ac:dyDescent="0.35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 x14ac:dyDescent="0.35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 x14ac:dyDescent="0.35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 x14ac:dyDescent="0.35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 x14ac:dyDescent="0.35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 x14ac:dyDescent="0.35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 x14ac:dyDescent="0.35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 x14ac:dyDescent="0.35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 x14ac:dyDescent="0.35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 x14ac:dyDescent="0.35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 x14ac:dyDescent="0.35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 x14ac:dyDescent="0.35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 x14ac:dyDescent="0.35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 x14ac:dyDescent="0.35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 x14ac:dyDescent="0.35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 x14ac:dyDescent="0.35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 x14ac:dyDescent="0.35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 x14ac:dyDescent="0.35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 x14ac:dyDescent="0.35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 x14ac:dyDescent="0.35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 x14ac:dyDescent="0.35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 x14ac:dyDescent="0.35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 x14ac:dyDescent="0.35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 x14ac:dyDescent="0.35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 x14ac:dyDescent="0.35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 x14ac:dyDescent="0.35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 x14ac:dyDescent="0.35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 x14ac:dyDescent="0.35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 x14ac:dyDescent="0.35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 x14ac:dyDescent="0.35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 x14ac:dyDescent="0.35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 x14ac:dyDescent="0.35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 x14ac:dyDescent="0.35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 x14ac:dyDescent="0.35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 x14ac:dyDescent="0.35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 x14ac:dyDescent="0.35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 x14ac:dyDescent="0.35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 x14ac:dyDescent="0.35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 x14ac:dyDescent="0.35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 x14ac:dyDescent="0.35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 x14ac:dyDescent="0.35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 x14ac:dyDescent="0.35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 x14ac:dyDescent="0.35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 x14ac:dyDescent="0.35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 x14ac:dyDescent="0.35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 x14ac:dyDescent="0.35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 x14ac:dyDescent="0.35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 x14ac:dyDescent="0.35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 x14ac:dyDescent="0.35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 x14ac:dyDescent="0.35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 x14ac:dyDescent="0.35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 x14ac:dyDescent="0.35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 x14ac:dyDescent="0.35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 x14ac:dyDescent="0.35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 x14ac:dyDescent="0.35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 x14ac:dyDescent="0.35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 x14ac:dyDescent="0.35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 x14ac:dyDescent="0.35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 x14ac:dyDescent="0.35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 x14ac:dyDescent="0.35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 x14ac:dyDescent="0.35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 x14ac:dyDescent="0.35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 x14ac:dyDescent="0.35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 x14ac:dyDescent="0.35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 x14ac:dyDescent="0.35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 x14ac:dyDescent="0.35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 x14ac:dyDescent="0.35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 x14ac:dyDescent="0.35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 x14ac:dyDescent="0.35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 x14ac:dyDescent="0.35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 x14ac:dyDescent="0.35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 x14ac:dyDescent="0.35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 x14ac:dyDescent="0.35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 x14ac:dyDescent="0.35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 x14ac:dyDescent="0.35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 x14ac:dyDescent="0.35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 x14ac:dyDescent="0.35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 x14ac:dyDescent="0.35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 x14ac:dyDescent="0.35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 x14ac:dyDescent="0.35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 x14ac:dyDescent="0.35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 x14ac:dyDescent="0.35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 x14ac:dyDescent="0.35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 x14ac:dyDescent="0.35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 x14ac:dyDescent="0.35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 x14ac:dyDescent="0.35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 x14ac:dyDescent="0.35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 x14ac:dyDescent="0.35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 x14ac:dyDescent="0.35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 x14ac:dyDescent="0.35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 x14ac:dyDescent="0.35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 x14ac:dyDescent="0.35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 x14ac:dyDescent="0.35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 x14ac:dyDescent="0.35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 x14ac:dyDescent="0.35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 x14ac:dyDescent="0.35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 x14ac:dyDescent="0.35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 x14ac:dyDescent="0.35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 x14ac:dyDescent="0.35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 x14ac:dyDescent="0.35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 x14ac:dyDescent="0.35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 x14ac:dyDescent="0.35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 x14ac:dyDescent="0.35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 x14ac:dyDescent="0.35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 x14ac:dyDescent="0.35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 x14ac:dyDescent="0.35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 x14ac:dyDescent="0.35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 x14ac:dyDescent="0.35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 x14ac:dyDescent="0.35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 x14ac:dyDescent="0.35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 x14ac:dyDescent="0.35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 x14ac:dyDescent="0.35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 x14ac:dyDescent="0.35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 x14ac:dyDescent="0.35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 x14ac:dyDescent="0.35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 x14ac:dyDescent="0.35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 x14ac:dyDescent="0.35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 x14ac:dyDescent="0.35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 x14ac:dyDescent="0.35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 x14ac:dyDescent="0.35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 x14ac:dyDescent="0.35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 x14ac:dyDescent="0.35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 x14ac:dyDescent="0.35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 x14ac:dyDescent="0.35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 x14ac:dyDescent="0.35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 x14ac:dyDescent="0.35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 x14ac:dyDescent="0.35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 x14ac:dyDescent="0.35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 x14ac:dyDescent="0.35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 x14ac:dyDescent="0.35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 x14ac:dyDescent="0.35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 x14ac:dyDescent="0.35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 x14ac:dyDescent="0.35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 x14ac:dyDescent="0.35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 x14ac:dyDescent="0.35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 x14ac:dyDescent="0.35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 x14ac:dyDescent="0.35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 x14ac:dyDescent="0.35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 x14ac:dyDescent="0.35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 x14ac:dyDescent="0.35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 x14ac:dyDescent="0.35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 x14ac:dyDescent="0.35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 x14ac:dyDescent="0.35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 x14ac:dyDescent="0.35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 x14ac:dyDescent="0.35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 x14ac:dyDescent="0.35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 x14ac:dyDescent="0.35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 x14ac:dyDescent="0.35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 x14ac:dyDescent="0.35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 x14ac:dyDescent="0.35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 x14ac:dyDescent="0.35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 x14ac:dyDescent="0.35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 x14ac:dyDescent="0.35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 x14ac:dyDescent="0.35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 x14ac:dyDescent="0.35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 x14ac:dyDescent="0.35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 x14ac:dyDescent="0.35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 x14ac:dyDescent="0.35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 x14ac:dyDescent="0.35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 x14ac:dyDescent="0.35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 x14ac:dyDescent="0.35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 x14ac:dyDescent="0.35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 x14ac:dyDescent="0.35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 x14ac:dyDescent="0.35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 x14ac:dyDescent="0.35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 x14ac:dyDescent="0.35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 x14ac:dyDescent="0.35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 x14ac:dyDescent="0.35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 x14ac:dyDescent="0.35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 x14ac:dyDescent="0.35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 x14ac:dyDescent="0.35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 x14ac:dyDescent="0.35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 x14ac:dyDescent="0.35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 x14ac:dyDescent="0.35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 x14ac:dyDescent="0.35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 x14ac:dyDescent="0.35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 x14ac:dyDescent="0.35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 x14ac:dyDescent="0.35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 x14ac:dyDescent="0.35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 x14ac:dyDescent="0.35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 x14ac:dyDescent="0.35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 x14ac:dyDescent="0.35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 x14ac:dyDescent="0.35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 x14ac:dyDescent="0.35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 x14ac:dyDescent="0.35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 x14ac:dyDescent="0.35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 x14ac:dyDescent="0.35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 x14ac:dyDescent="0.35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 x14ac:dyDescent="0.35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 x14ac:dyDescent="0.35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 x14ac:dyDescent="0.35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 x14ac:dyDescent="0.35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 x14ac:dyDescent="0.35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 x14ac:dyDescent="0.35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 x14ac:dyDescent="0.35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 x14ac:dyDescent="0.35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 x14ac:dyDescent="0.35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 x14ac:dyDescent="0.35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 x14ac:dyDescent="0.35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 x14ac:dyDescent="0.35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 x14ac:dyDescent="0.35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 x14ac:dyDescent="0.35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 x14ac:dyDescent="0.35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 x14ac:dyDescent="0.35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 x14ac:dyDescent="0.35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 x14ac:dyDescent="0.35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 x14ac:dyDescent="0.35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 x14ac:dyDescent="0.35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 x14ac:dyDescent="0.35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 x14ac:dyDescent="0.35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 x14ac:dyDescent="0.35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 x14ac:dyDescent="0.35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 x14ac:dyDescent="0.35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 x14ac:dyDescent="0.35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 x14ac:dyDescent="0.35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 x14ac:dyDescent="0.35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 x14ac:dyDescent="0.35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 x14ac:dyDescent="0.35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 x14ac:dyDescent="0.35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 x14ac:dyDescent="0.35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 x14ac:dyDescent="0.35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 x14ac:dyDescent="0.35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 x14ac:dyDescent="0.35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 x14ac:dyDescent="0.35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 x14ac:dyDescent="0.35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 x14ac:dyDescent="0.35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 x14ac:dyDescent="0.35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 x14ac:dyDescent="0.35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 x14ac:dyDescent="0.35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 x14ac:dyDescent="0.35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 x14ac:dyDescent="0.35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 x14ac:dyDescent="0.35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 x14ac:dyDescent="0.35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 x14ac:dyDescent="0.35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 x14ac:dyDescent="0.35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 x14ac:dyDescent="0.35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 x14ac:dyDescent="0.35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 x14ac:dyDescent="0.35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 x14ac:dyDescent="0.35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 x14ac:dyDescent="0.35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 x14ac:dyDescent="0.35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 x14ac:dyDescent="0.35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 x14ac:dyDescent="0.35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 x14ac:dyDescent="0.35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 x14ac:dyDescent="0.35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 x14ac:dyDescent="0.35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 x14ac:dyDescent="0.35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 x14ac:dyDescent="0.35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 x14ac:dyDescent="0.35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 x14ac:dyDescent="0.35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 x14ac:dyDescent="0.35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 x14ac:dyDescent="0.35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 x14ac:dyDescent="0.35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 x14ac:dyDescent="0.35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 x14ac:dyDescent="0.35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 x14ac:dyDescent="0.35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 x14ac:dyDescent="0.35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 x14ac:dyDescent="0.35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 x14ac:dyDescent="0.35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 x14ac:dyDescent="0.35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 x14ac:dyDescent="0.35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 x14ac:dyDescent="0.35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 x14ac:dyDescent="0.35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 x14ac:dyDescent="0.35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 x14ac:dyDescent="0.35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 x14ac:dyDescent="0.35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 x14ac:dyDescent="0.35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 x14ac:dyDescent="0.35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 x14ac:dyDescent="0.35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 x14ac:dyDescent="0.35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 x14ac:dyDescent="0.35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 x14ac:dyDescent="0.35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 x14ac:dyDescent="0.35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 x14ac:dyDescent="0.35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 x14ac:dyDescent="0.35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 x14ac:dyDescent="0.35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 x14ac:dyDescent="0.35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 x14ac:dyDescent="0.35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 x14ac:dyDescent="0.35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 x14ac:dyDescent="0.35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 x14ac:dyDescent="0.35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 x14ac:dyDescent="0.35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 x14ac:dyDescent="0.35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 x14ac:dyDescent="0.35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 x14ac:dyDescent="0.35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 x14ac:dyDescent="0.35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 x14ac:dyDescent="0.35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 x14ac:dyDescent="0.35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 x14ac:dyDescent="0.35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 x14ac:dyDescent="0.35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 x14ac:dyDescent="0.35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 x14ac:dyDescent="0.35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 x14ac:dyDescent="0.35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 x14ac:dyDescent="0.35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 x14ac:dyDescent="0.35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 x14ac:dyDescent="0.35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 x14ac:dyDescent="0.35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 x14ac:dyDescent="0.35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 x14ac:dyDescent="0.35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 x14ac:dyDescent="0.35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 x14ac:dyDescent="0.35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 x14ac:dyDescent="0.35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 x14ac:dyDescent="0.35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 x14ac:dyDescent="0.35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 x14ac:dyDescent="0.35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 x14ac:dyDescent="0.35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 x14ac:dyDescent="0.35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 x14ac:dyDescent="0.35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 x14ac:dyDescent="0.35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 x14ac:dyDescent="0.35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 x14ac:dyDescent="0.35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 x14ac:dyDescent="0.35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 x14ac:dyDescent="0.35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 x14ac:dyDescent="0.35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 x14ac:dyDescent="0.35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 x14ac:dyDescent="0.35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 x14ac:dyDescent="0.35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 x14ac:dyDescent="0.35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 x14ac:dyDescent="0.35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 x14ac:dyDescent="0.35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 x14ac:dyDescent="0.35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 x14ac:dyDescent="0.35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 x14ac:dyDescent="0.35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 x14ac:dyDescent="0.35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 x14ac:dyDescent="0.35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 x14ac:dyDescent="0.35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 x14ac:dyDescent="0.35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 x14ac:dyDescent="0.35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 x14ac:dyDescent="0.35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 x14ac:dyDescent="0.35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 x14ac:dyDescent="0.35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 x14ac:dyDescent="0.35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 x14ac:dyDescent="0.35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 x14ac:dyDescent="0.35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 x14ac:dyDescent="0.35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 x14ac:dyDescent="0.35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 x14ac:dyDescent="0.35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 x14ac:dyDescent="0.35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 x14ac:dyDescent="0.35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 x14ac:dyDescent="0.35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 x14ac:dyDescent="0.35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 x14ac:dyDescent="0.35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 x14ac:dyDescent="0.35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 x14ac:dyDescent="0.35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 x14ac:dyDescent="0.35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 x14ac:dyDescent="0.35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 x14ac:dyDescent="0.35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 x14ac:dyDescent="0.35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 x14ac:dyDescent="0.35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 x14ac:dyDescent="0.35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 x14ac:dyDescent="0.35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 x14ac:dyDescent="0.35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 x14ac:dyDescent="0.35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 x14ac:dyDescent="0.35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 x14ac:dyDescent="0.35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 x14ac:dyDescent="0.35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 x14ac:dyDescent="0.35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 x14ac:dyDescent="0.35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 x14ac:dyDescent="0.35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 x14ac:dyDescent="0.35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 x14ac:dyDescent="0.35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 x14ac:dyDescent="0.35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 x14ac:dyDescent="0.35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 x14ac:dyDescent="0.35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 x14ac:dyDescent="0.35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 x14ac:dyDescent="0.35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 x14ac:dyDescent="0.35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 x14ac:dyDescent="0.35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 x14ac:dyDescent="0.35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 x14ac:dyDescent="0.35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 x14ac:dyDescent="0.35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 x14ac:dyDescent="0.35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 x14ac:dyDescent="0.35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 x14ac:dyDescent="0.35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 x14ac:dyDescent="0.35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 x14ac:dyDescent="0.35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 x14ac:dyDescent="0.35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 x14ac:dyDescent="0.35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 x14ac:dyDescent="0.35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 x14ac:dyDescent="0.35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 x14ac:dyDescent="0.35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 x14ac:dyDescent="0.35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 x14ac:dyDescent="0.35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 x14ac:dyDescent="0.35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 x14ac:dyDescent="0.35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 x14ac:dyDescent="0.35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 x14ac:dyDescent="0.35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 x14ac:dyDescent="0.35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 x14ac:dyDescent="0.35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 x14ac:dyDescent="0.35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 x14ac:dyDescent="0.35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 x14ac:dyDescent="0.35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 x14ac:dyDescent="0.35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 x14ac:dyDescent="0.35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 x14ac:dyDescent="0.35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 x14ac:dyDescent="0.35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 x14ac:dyDescent="0.35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 x14ac:dyDescent="0.35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 x14ac:dyDescent="0.35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 x14ac:dyDescent="0.35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 x14ac:dyDescent="0.35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 x14ac:dyDescent="0.35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 x14ac:dyDescent="0.35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 x14ac:dyDescent="0.35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 x14ac:dyDescent="0.35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 x14ac:dyDescent="0.35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 x14ac:dyDescent="0.35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 x14ac:dyDescent="0.35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 x14ac:dyDescent="0.35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 x14ac:dyDescent="0.35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 x14ac:dyDescent="0.35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 x14ac:dyDescent="0.35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 x14ac:dyDescent="0.35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 x14ac:dyDescent="0.35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 x14ac:dyDescent="0.35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 x14ac:dyDescent="0.35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 x14ac:dyDescent="0.35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 x14ac:dyDescent="0.35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 x14ac:dyDescent="0.35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 x14ac:dyDescent="0.35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 x14ac:dyDescent="0.35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 x14ac:dyDescent="0.35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 x14ac:dyDescent="0.35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 x14ac:dyDescent="0.35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 x14ac:dyDescent="0.35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 x14ac:dyDescent="0.35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 x14ac:dyDescent="0.35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 x14ac:dyDescent="0.35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 x14ac:dyDescent="0.35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 x14ac:dyDescent="0.35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 x14ac:dyDescent="0.35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 x14ac:dyDescent="0.35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 x14ac:dyDescent="0.35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 x14ac:dyDescent="0.35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 x14ac:dyDescent="0.35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 x14ac:dyDescent="0.35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 x14ac:dyDescent="0.35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 x14ac:dyDescent="0.35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 x14ac:dyDescent="0.35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 x14ac:dyDescent="0.35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 x14ac:dyDescent="0.35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 x14ac:dyDescent="0.35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 x14ac:dyDescent="0.35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 x14ac:dyDescent="0.35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 x14ac:dyDescent="0.35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 x14ac:dyDescent="0.35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 x14ac:dyDescent="0.35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 x14ac:dyDescent="0.35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 x14ac:dyDescent="0.35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 x14ac:dyDescent="0.35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 x14ac:dyDescent="0.35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 x14ac:dyDescent="0.35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 x14ac:dyDescent="0.35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 x14ac:dyDescent="0.35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 x14ac:dyDescent="0.35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 x14ac:dyDescent="0.35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 x14ac:dyDescent="0.35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 x14ac:dyDescent="0.35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 x14ac:dyDescent="0.35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 x14ac:dyDescent="0.35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 x14ac:dyDescent="0.35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 x14ac:dyDescent="0.35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 x14ac:dyDescent="0.35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 x14ac:dyDescent="0.35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 x14ac:dyDescent="0.35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 x14ac:dyDescent="0.35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 x14ac:dyDescent="0.35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 x14ac:dyDescent="0.35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 x14ac:dyDescent="0.35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 x14ac:dyDescent="0.35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 x14ac:dyDescent="0.35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 x14ac:dyDescent="0.35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 x14ac:dyDescent="0.35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 x14ac:dyDescent="0.35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 x14ac:dyDescent="0.35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 x14ac:dyDescent="0.35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 x14ac:dyDescent="0.35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 x14ac:dyDescent="0.35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 x14ac:dyDescent="0.35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 x14ac:dyDescent="0.35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 x14ac:dyDescent="0.35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 x14ac:dyDescent="0.35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 x14ac:dyDescent="0.35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 x14ac:dyDescent="0.35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 x14ac:dyDescent="0.35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 x14ac:dyDescent="0.35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 x14ac:dyDescent="0.35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 x14ac:dyDescent="0.35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 x14ac:dyDescent="0.35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 x14ac:dyDescent="0.35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 x14ac:dyDescent="0.35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 x14ac:dyDescent="0.35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 x14ac:dyDescent="0.35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 x14ac:dyDescent="0.35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 x14ac:dyDescent="0.35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 x14ac:dyDescent="0.35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 x14ac:dyDescent="0.35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 x14ac:dyDescent="0.35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 x14ac:dyDescent="0.35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 x14ac:dyDescent="0.35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 x14ac:dyDescent="0.35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 x14ac:dyDescent="0.35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 x14ac:dyDescent="0.35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 x14ac:dyDescent="0.35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 x14ac:dyDescent="0.35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 x14ac:dyDescent="0.35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 x14ac:dyDescent="0.35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 x14ac:dyDescent="0.35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 x14ac:dyDescent="0.35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 x14ac:dyDescent="0.35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 x14ac:dyDescent="0.35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 x14ac:dyDescent="0.35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 x14ac:dyDescent="0.35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 x14ac:dyDescent="0.35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 x14ac:dyDescent="0.35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 x14ac:dyDescent="0.35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 x14ac:dyDescent="0.35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 x14ac:dyDescent="0.35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 x14ac:dyDescent="0.35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 x14ac:dyDescent="0.35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 x14ac:dyDescent="0.35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 x14ac:dyDescent="0.35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 x14ac:dyDescent="0.35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 x14ac:dyDescent="0.35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 x14ac:dyDescent="0.35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 x14ac:dyDescent="0.35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 x14ac:dyDescent="0.35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 x14ac:dyDescent="0.35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 x14ac:dyDescent="0.35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 x14ac:dyDescent="0.35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 x14ac:dyDescent="0.35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 x14ac:dyDescent="0.35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 x14ac:dyDescent="0.35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 x14ac:dyDescent="0.35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 x14ac:dyDescent="0.35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 x14ac:dyDescent="0.35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 x14ac:dyDescent="0.35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 x14ac:dyDescent="0.35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 x14ac:dyDescent="0.35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 x14ac:dyDescent="0.35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 x14ac:dyDescent="0.35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 x14ac:dyDescent="0.35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 x14ac:dyDescent="0.35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 x14ac:dyDescent="0.35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 x14ac:dyDescent="0.35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 x14ac:dyDescent="0.35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 x14ac:dyDescent="0.35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 x14ac:dyDescent="0.35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 x14ac:dyDescent="0.35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 x14ac:dyDescent="0.35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 x14ac:dyDescent="0.35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 x14ac:dyDescent="0.35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 x14ac:dyDescent="0.35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 x14ac:dyDescent="0.35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 x14ac:dyDescent="0.35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 x14ac:dyDescent="0.35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 x14ac:dyDescent="0.35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 x14ac:dyDescent="0.35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 x14ac:dyDescent="0.35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 x14ac:dyDescent="0.35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 x14ac:dyDescent="0.35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 x14ac:dyDescent="0.35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 x14ac:dyDescent="0.35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 x14ac:dyDescent="0.35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 x14ac:dyDescent="0.35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 x14ac:dyDescent="0.35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 x14ac:dyDescent="0.35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 x14ac:dyDescent="0.35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 x14ac:dyDescent="0.35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 x14ac:dyDescent="0.35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 x14ac:dyDescent="0.35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 x14ac:dyDescent="0.35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 x14ac:dyDescent="0.35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 x14ac:dyDescent="0.35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 x14ac:dyDescent="0.35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 x14ac:dyDescent="0.35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 x14ac:dyDescent="0.35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 x14ac:dyDescent="0.35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 x14ac:dyDescent="0.35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 x14ac:dyDescent="0.35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 x14ac:dyDescent="0.35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 x14ac:dyDescent="0.35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 x14ac:dyDescent="0.35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 x14ac:dyDescent="0.35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 x14ac:dyDescent="0.35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 x14ac:dyDescent="0.35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 x14ac:dyDescent="0.35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 x14ac:dyDescent="0.35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 x14ac:dyDescent="0.35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 x14ac:dyDescent="0.35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 x14ac:dyDescent="0.35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 x14ac:dyDescent="0.35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 x14ac:dyDescent="0.35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 x14ac:dyDescent="0.35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 x14ac:dyDescent="0.35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 x14ac:dyDescent="0.35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 x14ac:dyDescent="0.35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 x14ac:dyDescent="0.35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 x14ac:dyDescent="0.35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 x14ac:dyDescent="0.35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 x14ac:dyDescent="0.35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 x14ac:dyDescent="0.35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 x14ac:dyDescent="0.35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 x14ac:dyDescent="0.35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 x14ac:dyDescent="0.35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 x14ac:dyDescent="0.35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 x14ac:dyDescent="0.35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 x14ac:dyDescent="0.35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 x14ac:dyDescent="0.35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 x14ac:dyDescent="0.35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 x14ac:dyDescent="0.35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 x14ac:dyDescent="0.35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 x14ac:dyDescent="0.35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 x14ac:dyDescent="0.35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 x14ac:dyDescent="0.35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 x14ac:dyDescent="0.35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 x14ac:dyDescent="0.35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 x14ac:dyDescent="0.35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 x14ac:dyDescent="0.35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 x14ac:dyDescent="0.35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 x14ac:dyDescent="0.35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 x14ac:dyDescent="0.35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 x14ac:dyDescent="0.35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 x14ac:dyDescent="0.35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 x14ac:dyDescent="0.35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 x14ac:dyDescent="0.35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 x14ac:dyDescent="0.35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 x14ac:dyDescent="0.35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 x14ac:dyDescent="0.35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 x14ac:dyDescent="0.35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 x14ac:dyDescent="0.35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 x14ac:dyDescent="0.35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 x14ac:dyDescent="0.35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 x14ac:dyDescent="0.35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 x14ac:dyDescent="0.35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 x14ac:dyDescent="0.35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 x14ac:dyDescent="0.35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 x14ac:dyDescent="0.35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 x14ac:dyDescent="0.35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 x14ac:dyDescent="0.35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 x14ac:dyDescent="0.35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 x14ac:dyDescent="0.35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 x14ac:dyDescent="0.35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 x14ac:dyDescent="0.35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 x14ac:dyDescent="0.35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 x14ac:dyDescent="0.35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 x14ac:dyDescent="0.35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 x14ac:dyDescent="0.35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 x14ac:dyDescent="0.35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 x14ac:dyDescent="0.35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 x14ac:dyDescent="0.35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 x14ac:dyDescent="0.35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 x14ac:dyDescent="0.35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 x14ac:dyDescent="0.35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 x14ac:dyDescent="0.35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 x14ac:dyDescent="0.35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 x14ac:dyDescent="0.35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 x14ac:dyDescent="0.35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 x14ac:dyDescent="0.35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 x14ac:dyDescent="0.35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 x14ac:dyDescent="0.35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 x14ac:dyDescent="0.35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 x14ac:dyDescent="0.35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 x14ac:dyDescent="0.35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 x14ac:dyDescent="0.35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 x14ac:dyDescent="0.35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 x14ac:dyDescent="0.35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 x14ac:dyDescent="0.35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 x14ac:dyDescent="0.35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 x14ac:dyDescent="0.35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 x14ac:dyDescent="0.35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 x14ac:dyDescent="0.35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 x14ac:dyDescent="0.35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 x14ac:dyDescent="0.35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 x14ac:dyDescent="0.35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 x14ac:dyDescent="0.35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 x14ac:dyDescent="0.35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 x14ac:dyDescent="0.35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 x14ac:dyDescent="0.35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 x14ac:dyDescent="0.35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 x14ac:dyDescent="0.35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 x14ac:dyDescent="0.35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 x14ac:dyDescent="0.35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 x14ac:dyDescent="0.35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 x14ac:dyDescent="0.35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 x14ac:dyDescent="0.35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 x14ac:dyDescent="0.35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 x14ac:dyDescent="0.35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 x14ac:dyDescent="0.35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 x14ac:dyDescent="0.35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 x14ac:dyDescent="0.35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 x14ac:dyDescent="0.35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 x14ac:dyDescent="0.35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 x14ac:dyDescent="0.35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 x14ac:dyDescent="0.35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 x14ac:dyDescent="0.35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 x14ac:dyDescent="0.35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 x14ac:dyDescent="0.35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 x14ac:dyDescent="0.35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 x14ac:dyDescent="0.35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 x14ac:dyDescent="0.35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 x14ac:dyDescent="0.35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 x14ac:dyDescent="0.35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 x14ac:dyDescent="0.35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 x14ac:dyDescent="0.35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 x14ac:dyDescent="0.35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 x14ac:dyDescent="0.35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 x14ac:dyDescent="0.35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 x14ac:dyDescent="0.35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 x14ac:dyDescent="0.35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 x14ac:dyDescent="0.35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 x14ac:dyDescent="0.35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 x14ac:dyDescent="0.35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 x14ac:dyDescent="0.35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 x14ac:dyDescent="0.35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 x14ac:dyDescent="0.35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 x14ac:dyDescent="0.35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 x14ac:dyDescent="0.35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 x14ac:dyDescent="0.35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 x14ac:dyDescent="0.35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 x14ac:dyDescent="0.35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 x14ac:dyDescent="0.35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 x14ac:dyDescent="0.35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 x14ac:dyDescent="0.35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 x14ac:dyDescent="0.35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 x14ac:dyDescent="0.35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 x14ac:dyDescent="0.35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 x14ac:dyDescent="0.35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 x14ac:dyDescent="0.35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 x14ac:dyDescent="0.35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 x14ac:dyDescent="0.35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 x14ac:dyDescent="0.35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 x14ac:dyDescent="0.35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 x14ac:dyDescent="0.35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 x14ac:dyDescent="0.35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 x14ac:dyDescent="0.35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 x14ac:dyDescent="0.35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 x14ac:dyDescent="0.35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 x14ac:dyDescent="0.35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 x14ac:dyDescent="0.35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 x14ac:dyDescent="0.35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 x14ac:dyDescent="0.35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 x14ac:dyDescent="0.35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 x14ac:dyDescent="0.35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 x14ac:dyDescent="0.35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 x14ac:dyDescent="0.35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 x14ac:dyDescent="0.35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 x14ac:dyDescent="0.35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 x14ac:dyDescent="0.35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 x14ac:dyDescent="0.35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 x14ac:dyDescent="0.35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 x14ac:dyDescent="0.35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 x14ac:dyDescent="0.35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 x14ac:dyDescent="0.35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 x14ac:dyDescent="0.35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 x14ac:dyDescent="0.35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 x14ac:dyDescent="0.35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 x14ac:dyDescent="0.35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 x14ac:dyDescent="0.35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 x14ac:dyDescent="0.35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 x14ac:dyDescent="0.35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 x14ac:dyDescent="0.35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 x14ac:dyDescent="0.35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 x14ac:dyDescent="0.35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 x14ac:dyDescent="0.35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 x14ac:dyDescent="0.35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 x14ac:dyDescent="0.35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 x14ac:dyDescent="0.35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 x14ac:dyDescent="0.35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 x14ac:dyDescent="0.35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 x14ac:dyDescent="0.35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 x14ac:dyDescent="0.35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 x14ac:dyDescent="0.35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 x14ac:dyDescent="0.35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 x14ac:dyDescent="0.35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 x14ac:dyDescent="0.35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 x14ac:dyDescent="0.35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 x14ac:dyDescent="0.35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 x14ac:dyDescent="0.35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 x14ac:dyDescent="0.35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 x14ac:dyDescent="0.35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 x14ac:dyDescent="0.35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 x14ac:dyDescent="0.35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 x14ac:dyDescent="0.35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 x14ac:dyDescent="0.35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 x14ac:dyDescent="0.35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 x14ac:dyDescent="0.35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 x14ac:dyDescent="0.35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 x14ac:dyDescent="0.35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 x14ac:dyDescent="0.35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 x14ac:dyDescent="0.35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 x14ac:dyDescent="0.35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 x14ac:dyDescent="0.35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 x14ac:dyDescent="0.35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 x14ac:dyDescent="0.35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 x14ac:dyDescent="0.35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 x14ac:dyDescent="0.35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 x14ac:dyDescent="0.35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 x14ac:dyDescent="0.35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 x14ac:dyDescent="0.35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 x14ac:dyDescent="0.35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 x14ac:dyDescent="0.35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 x14ac:dyDescent="0.35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 x14ac:dyDescent="0.35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 x14ac:dyDescent="0.35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 x14ac:dyDescent="0.35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 x14ac:dyDescent="0.35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 x14ac:dyDescent="0.35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 x14ac:dyDescent="0.35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 x14ac:dyDescent="0.35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 x14ac:dyDescent="0.35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 x14ac:dyDescent="0.35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 x14ac:dyDescent="0.35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 x14ac:dyDescent="0.35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 x14ac:dyDescent="0.35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 x14ac:dyDescent="0.35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 x14ac:dyDescent="0.35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 x14ac:dyDescent="0.35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 x14ac:dyDescent="0.35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 x14ac:dyDescent="0.35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 x14ac:dyDescent="0.35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 x14ac:dyDescent="0.35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 x14ac:dyDescent="0.35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 x14ac:dyDescent="0.35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 x14ac:dyDescent="0.35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 x14ac:dyDescent="0.35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 x14ac:dyDescent="0.35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 x14ac:dyDescent="0.35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 x14ac:dyDescent="0.35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 x14ac:dyDescent="0.35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 x14ac:dyDescent="0.35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 x14ac:dyDescent="0.35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 x14ac:dyDescent="0.35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 x14ac:dyDescent="0.35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 x14ac:dyDescent="0.35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 x14ac:dyDescent="0.35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 x14ac:dyDescent="0.35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 x14ac:dyDescent="0.35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 x14ac:dyDescent="0.35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 x14ac:dyDescent="0.35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 x14ac:dyDescent="0.35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 x14ac:dyDescent="0.35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 x14ac:dyDescent="0.35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 x14ac:dyDescent="0.35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 x14ac:dyDescent="0.35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 x14ac:dyDescent="0.35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 x14ac:dyDescent="0.35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 x14ac:dyDescent="0.35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 x14ac:dyDescent="0.35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 x14ac:dyDescent="0.35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 x14ac:dyDescent="0.35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 x14ac:dyDescent="0.35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 x14ac:dyDescent="0.35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 x14ac:dyDescent="0.35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 x14ac:dyDescent="0.35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 x14ac:dyDescent="0.35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 x14ac:dyDescent="0.35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 x14ac:dyDescent="0.35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 x14ac:dyDescent="0.35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 x14ac:dyDescent="0.35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 x14ac:dyDescent="0.35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 x14ac:dyDescent="0.35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 x14ac:dyDescent="0.35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 x14ac:dyDescent="0.35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 x14ac:dyDescent="0.35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 x14ac:dyDescent="0.35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 x14ac:dyDescent="0.35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 x14ac:dyDescent="0.35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 x14ac:dyDescent="0.35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 x14ac:dyDescent="0.35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 x14ac:dyDescent="0.35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 x14ac:dyDescent="0.35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 x14ac:dyDescent="0.35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 x14ac:dyDescent="0.35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 x14ac:dyDescent="0.35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 x14ac:dyDescent="0.35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 x14ac:dyDescent="0.35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 x14ac:dyDescent="0.35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 x14ac:dyDescent="0.35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 x14ac:dyDescent="0.35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 x14ac:dyDescent="0.35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 x14ac:dyDescent="0.35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 x14ac:dyDescent="0.35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 x14ac:dyDescent="0.35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 x14ac:dyDescent="0.35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 x14ac:dyDescent="0.35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 x14ac:dyDescent="0.35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 x14ac:dyDescent="0.35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 x14ac:dyDescent="0.35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 x14ac:dyDescent="0.35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 x14ac:dyDescent="0.35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 x14ac:dyDescent="0.35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 x14ac:dyDescent="0.35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 x14ac:dyDescent="0.35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 x14ac:dyDescent="0.35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 x14ac:dyDescent="0.35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 x14ac:dyDescent="0.35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 x14ac:dyDescent="0.35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 x14ac:dyDescent="0.35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 x14ac:dyDescent="0.35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 x14ac:dyDescent="0.35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 x14ac:dyDescent="0.35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 x14ac:dyDescent="0.35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 x14ac:dyDescent="0.35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 x14ac:dyDescent="0.35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 x14ac:dyDescent="0.35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 x14ac:dyDescent="0.35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 x14ac:dyDescent="0.35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 x14ac:dyDescent="0.35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 x14ac:dyDescent="0.35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 x14ac:dyDescent="0.35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 x14ac:dyDescent="0.35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 x14ac:dyDescent="0.35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 x14ac:dyDescent="0.35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 x14ac:dyDescent="0.35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 x14ac:dyDescent="0.35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 x14ac:dyDescent="0.35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 x14ac:dyDescent="0.35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 x14ac:dyDescent="0.35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 x14ac:dyDescent="0.35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 x14ac:dyDescent="0.35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 x14ac:dyDescent="0.35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 x14ac:dyDescent="0.35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 x14ac:dyDescent="0.35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 x14ac:dyDescent="0.35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 x14ac:dyDescent="0.35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 x14ac:dyDescent="0.35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 x14ac:dyDescent="0.35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 x14ac:dyDescent="0.35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 x14ac:dyDescent="0.35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 x14ac:dyDescent="0.35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 x14ac:dyDescent="0.35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 x14ac:dyDescent="0.35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 x14ac:dyDescent="0.35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 x14ac:dyDescent="0.35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 x14ac:dyDescent="0.35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 x14ac:dyDescent="0.35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 x14ac:dyDescent="0.35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 x14ac:dyDescent="0.35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 x14ac:dyDescent="0.35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 x14ac:dyDescent="0.35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 x14ac:dyDescent="0.35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 x14ac:dyDescent="0.35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 x14ac:dyDescent="0.35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 x14ac:dyDescent="0.35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 x14ac:dyDescent="0.35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 x14ac:dyDescent="0.35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 x14ac:dyDescent="0.35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 x14ac:dyDescent="0.35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 x14ac:dyDescent="0.35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 x14ac:dyDescent="0.35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 x14ac:dyDescent="0.35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 x14ac:dyDescent="0.35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 x14ac:dyDescent="0.35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 x14ac:dyDescent="0.35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 x14ac:dyDescent="0.35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 x14ac:dyDescent="0.35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 x14ac:dyDescent="0.35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 x14ac:dyDescent="0.35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 x14ac:dyDescent="0.35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 x14ac:dyDescent="0.35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 x14ac:dyDescent="0.35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 x14ac:dyDescent="0.35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 x14ac:dyDescent="0.35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 x14ac:dyDescent="0.35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 x14ac:dyDescent="0.35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 x14ac:dyDescent="0.35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 x14ac:dyDescent="0.35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 x14ac:dyDescent="0.35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 x14ac:dyDescent="0.35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 x14ac:dyDescent="0.35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 x14ac:dyDescent="0.35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 x14ac:dyDescent="0.35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 x14ac:dyDescent="0.35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 x14ac:dyDescent="0.35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 x14ac:dyDescent="0.35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 x14ac:dyDescent="0.35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 x14ac:dyDescent="0.35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 x14ac:dyDescent="0.35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 x14ac:dyDescent="0.35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 x14ac:dyDescent="0.35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 x14ac:dyDescent="0.35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 x14ac:dyDescent="0.35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 x14ac:dyDescent="0.35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 x14ac:dyDescent="0.35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 x14ac:dyDescent="0.35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 x14ac:dyDescent="0.35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 x14ac:dyDescent="0.35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 x14ac:dyDescent="0.35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 x14ac:dyDescent="0.35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 x14ac:dyDescent="0.35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 x14ac:dyDescent="0.35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 x14ac:dyDescent="0.35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 x14ac:dyDescent="0.35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 x14ac:dyDescent="0.35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 x14ac:dyDescent="0.35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 x14ac:dyDescent="0.35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 x14ac:dyDescent="0.35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 x14ac:dyDescent="0.35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 x14ac:dyDescent="0.35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 x14ac:dyDescent="0.35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 x14ac:dyDescent="0.35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 x14ac:dyDescent="0.35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 x14ac:dyDescent="0.35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 x14ac:dyDescent="0.35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 x14ac:dyDescent="0.35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 x14ac:dyDescent="0.35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 x14ac:dyDescent="0.35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 x14ac:dyDescent="0.35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 x14ac:dyDescent="0.35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 x14ac:dyDescent="0.35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 x14ac:dyDescent="0.35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 x14ac:dyDescent="0.35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 x14ac:dyDescent="0.35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 x14ac:dyDescent="0.35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 x14ac:dyDescent="0.35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 x14ac:dyDescent="0.35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 x14ac:dyDescent="0.35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 x14ac:dyDescent="0.35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 x14ac:dyDescent="0.35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 x14ac:dyDescent="0.35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 x14ac:dyDescent="0.35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 x14ac:dyDescent="0.35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 x14ac:dyDescent="0.35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 x14ac:dyDescent="0.35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 x14ac:dyDescent="0.35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 x14ac:dyDescent="0.35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 x14ac:dyDescent="0.35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 x14ac:dyDescent="0.35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 x14ac:dyDescent="0.35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 x14ac:dyDescent="0.35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 x14ac:dyDescent="0.35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 x14ac:dyDescent="0.35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 x14ac:dyDescent="0.35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 x14ac:dyDescent="0.35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 x14ac:dyDescent="0.35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 x14ac:dyDescent="0.35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 x14ac:dyDescent="0.35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 x14ac:dyDescent="0.35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 x14ac:dyDescent="0.35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 x14ac:dyDescent="0.35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 x14ac:dyDescent="0.35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 x14ac:dyDescent="0.35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 x14ac:dyDescent="0.35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 x14ac:dyDescent="0.35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 x14ac:dyDescent="0.35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 x14ac:dyDescent="0.35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 x14ac:dyDescent="0.35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 x14ac:dyDescent="0.35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 x14ac:dyDescent="0.35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 x14ac:dyDescent="0.35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 x14ac:dyDescent="0.35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 x14ac:dyDescent="0.35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 x14ac:dyDescent="0.35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 x14ac:dyDescent="0.35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 x14ac:dyDescent="0.35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 x14ac:dyDescent="0.35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 x14ac:dyDescent="0.35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 x14ac:dyDescent="0.35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 x14ac:dyDescent="0.35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 x14ac:dyDescent="0.35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 x14ac:dyDescent="0.35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 x14ac:dyDescent="0.35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 x14ac:dyDescent="0.35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 x14ac:dyDescent="0.35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 x14ac:dyDescent="0.35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 x14ac:dyDescent="0.35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 x14ac:dyDescent="0.35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 x14ac:dyDescent="0.35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 x14ac:dyDescent="0.35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 x14ac:dyDescent="0.35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 x14ac:dyDescent="0.35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 x14ac:dyDescent="0.35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 x14ac:dyDescent="0.35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 x14ac:dyDescent="0.35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 x14ac:dyDescent="0.35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 x14ac:dyDescent="0.35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 x14ac:dyDescent="0.35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 x14ac:dyDescent="0.35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 x14ac:dyDescent="0.35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 x14ac:dyDescent="0.35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 x14ac:dyDescent="0.35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 x14ac:dyDescent="0.35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 x14ac:dyDescent="0.35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 x14ac:dyDescent="0.35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 x14ac:dyDescent="0.35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 x14ac:dyDescent="0.35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 x14ac:dyDescent="0.35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 x14ac:dyDescent="0.35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 x14ac:dyDescent="0.35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 x14ac:dyDescent="0.35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 x14ac:dyDescent="0.35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 x14ac:dyDescent="0.35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 x14ac:dyDescent="0.35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 x14ac:dyDescent="0.35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 x14ac:dyDescent="0.35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 x14ac:dyDescent="0.35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 x14ac:dyDescent="0.35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 x14ac:dyDescent="0.35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 x14ac:dyDescent="0.35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 x14ac:dyDescent="0.35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 x14ac:dyDescent="0.35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 x14ac:dyDescent="0.35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 x14ac:dyDescent="0.35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 x14ac:dyDescent="0.35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 x14ac:dyDescent="0.35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 x14ac:dyDescent="0.35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 x14ac:dyDescent="0.35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 x14ac:dyDescent="0.35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 x14ac:dyDescent="0.35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 x14ac:dyDescent="0.35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 x14ac:dyDescent="0.35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 x14ac:dyDescent="0.35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 x14ac:dyDescent="0.35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 x14ac:dyDescent="0.35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 x14ac:dyDescent="0.35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 x14ac:dyDescent="0.35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 x14ac:dyDescent="0.35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 x14ac:dyDescent="0.35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 x14ac:dyDescent="0.35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 x14ac:dyDescent="0.35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 x14ac:dyDescent="0.35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 x14ac:dyDescent="0.35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 x14ac:dyDescent="0.35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 x14ac:dyDescent="0.35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 x14ac:dyDescent="0.35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 x14ac:dyDescent="0.35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 x14ac:dyDescent="0.35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 x14ac:dyDescent="0.35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 x14ac:dyDescent="0.35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 x14ac:dyDescent="0.35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 x14ac:dyDescent="0.35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 x14ac:dyDescent="0.35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 x14ac:dyDescent="0.35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 x14ac:dyDescent="0.35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 x14ac:dyDescent="0.35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 x14ac:dyDescent="0.35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 x14ac:dyDescent="0.35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 x14ac:dyDescent="0.35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 x14ac:dyDescent="0.35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 x14ac:dyDescent="0.35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 x14ac:dyDescent="0.35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 x14ac:dyDescent="0.35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 x14ac:dyDescent="0.35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 x14ac:dyDescent="0.35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 x14ac:dyDescent="0.35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 x14ac:dyDescent="0.35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 x14ac:dyDescent="0.35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 x14ac:dyDescent="0.35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 x14ac:dyDescent="0.35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 x14ac:dyDescent="0.35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 x14ac:dyDescent="0.35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 x14ac:dyDescent="0.35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 x14ac:dyDescent="0.35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 x14ac:dyDescent="0.35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 x14ac:dyDescent="0.35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 x14ac:dyDescent="0.35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 x14ac:dyDescent="0.35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 x14ac:dyDescent="0.35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 x14ac:dyDescent="0.35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 x14ac:dyDescent="0.35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 x14ac:dyDescent="0.35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 x14ac:dyDescent="0.35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 x14ac:dyDescent="0.35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 x14ac:dyDescent="0.35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 x14ac:dyDescent="0.35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 x14ac:dyDescent="0.35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 x14ac:dyDescent="0.35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 x14ac:dyDescent="0.35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 x14ac:dyDescent="0.35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 x14ac:dyDescent="0.35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 x14ac:dyDescent="0.35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 x14ac:dyDescent="0.35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 x14ac:dyDescent="0.35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 x14ac:dyDescent="0.35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 x14ac:dyDescent="0.35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 x14ac:dyDescent="0.35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 x14ac:dyDescent="0.35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 x14ac:dyDescent="0.35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 x14ac:dyDescent="0.35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 x14ac:dyDescent="0.35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 x14ac:dyDescent="0.35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 x14ac:dyDescent="0.35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 x14ac:dyDescent="0.35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 x14ac:dyDescent="0.35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 x14ac:dyDescent="0.35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 x14ac:dyDescent="0.35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 x14ac:dyDescent="0.35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 x14ac:dyDescent="0.35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 x14ac:dyDescent="0.35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 x14ac:dyDescent="0.35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 x14ac:dyDescent="0.35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 x14ac:dyDescent="0.35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 x14ac:dyDescent="0.35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 x14ac:dyDescent="0.35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 x14ac:dyDescent="0.35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 x14ac:dyDescent="0.35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 x14ac:dyDescent="0.35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 x14ac:dyDescent="0.35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 x14ac:dyDescent="0.35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 x14ac:dyDescent="0.35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 x14ac:dyDescent="0.35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 x14ac:dyDescent="0.35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 x14ac:dyDescent="0.35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 x14ac:dyDescent="0.35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 x14ac:dyDescent="0.35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 x14ac:dyDescent="0.35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 x14ac:dyDescent="0.35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 x14ac:dyDescent="0.35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 x14ac:dyDescent="0.35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 x14ac:dyDescent="0.35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 x14ac:dyDescent="0.35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 x14ac:dyDescent="0.35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 x14ac:dyDescent="0.35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 x14ac:dyDescent="0.35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 x14ac:dyDescent="0.35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 x14ac:dyDescent="0.35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 x14ac:dyDescent="0.35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 x14ac:dyDescent="0.35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 x14ac:dyDescent="0.35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 x14ac:dyDescent="0.35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 x14ac:dyDescent="0.35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 x14ac:dyDescent="0.35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 x14ac:dyDescent="0.35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 x14ac:dyDescent="0.35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 x14ac:dyDescent="0.35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 x14ac:dyDescent="0.35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 x14ac:dyDescent="0.35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 x14ac:dyDescent="0.35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 x14ac:dyDescent="0.35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 x14ac:dyDescent="0.35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 x14ac:dyDescent="0.35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 x14ac:dyDescent="0.35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 x14ac:dyDescent="0.35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 x14ac:dyDescent="0.35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 x14ac:dyDescent="0.35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 x14ac:dyDescent="0.35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 x14ac:dyDescent="0.35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 x14ac:dyDescent="0.35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 x14ac:dyDescent="0.35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 x14ac:dyDescent="0.35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 x14ac:dyDescent="0.35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 x14ac:dyDescent="0.35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 x14ac:dyDescent="0.35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 x14ac:dyDescent="0.35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 x14ac:dyDescent="0.35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 x14ac:dyDescent="0.35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 x14ac:dyDescent="0.35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 x14ac:dyDescent="0.35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 x14ac:dyDescent="0.35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 x14ac:dyDescent="0.35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 x14ac:dyDescent="0.35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 x14ac:dyDescent="0.35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 x14ac:dyDescent="0.35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 x14ac:dyDescent="0.35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 x14ac:dyDescent="0.35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 x14ac:dyDescent="0.35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 x14ac:dyDescent="0.35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 x14ac:dyDescent="0.35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 x14ac:dyDescent="0.35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 x14ac:dyDescent="0.35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 x14ac:dyDescent="0.35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 x14ac:dyDescent="0.35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 x14ac:dyDescent="0.35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 x14ac:dyDescent="0.35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 x14ac:dyDescent="0.35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 x14ac:dyDescent="0.35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 x14ac:dyDescent="0.35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 x14ac:dyDescent="0.35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 x14ac:dyDescent="0.35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 x14ac:dyDescent="0.35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 x14ac:dyDescent="0.35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 x14ac:dyDescent="0.35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 x14ac:dyDescent="0.35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 x14ac:dyDescent="0.35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 x14ac:dyDescent="0.35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 x14ac:dyDescent="0.35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 x14ac:dyDescent="0.35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 x14ac:dyDescent="0.35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 x14ac:dyDescent="0.35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 x14ac:dyDescent="0.35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 x14ac:dyDescent="0.35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 x14ac:dyDescent="0.35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 x14ac:dyDescent="0.35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 x14ac:dyDescent="0.35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 x14ac:dyDescent="0.35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 x14ac:dyDescent="0.35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 x14ac:dyDescent="0.35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 x14ac:dyDescent="0.35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 x14ac:dyDescent="0.35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 x14ac:dyDescent="0.35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 x14ac:dyDescent="0.35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 x14ac:dyDescent="0.35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 x14ac:dyDescent="0.35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 x14ac:dyDescent="0.35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 x14ac:dyDescent="0.35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 x14ac:dyDescent="0.35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 x14ac:dyDescent="0.35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 x14ac:dyDescent="0.35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 x14ac:dyDescent="0.35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 x14ac:dyDescent="0.35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 x14ac:dyDescent="0.35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 x14ac:dyDescent="0.35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 x14ac:dyDescent="0.35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 x14ac:dyDescent="0.35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 x14ac:dyDescent="0.35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 x14ac:dyDescent="0.35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 x14ac:dyDescent="0.35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 x14ac:dyDescent="0.35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 x14ac:dyDescent="0.35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 x14ac:dyDescent="0.35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 x14ac:dyDescent="0.35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 x14ac:dyDescent="0.35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 x14ac:dyDescent="0.35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 x14ac:dyDescent="0.35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 x14ac:dyDescent="0.35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 x14ac:dyDescent="0.35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 x14ac:dyDescent="0.35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 x14ac:dyDescent="0.35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 x14ac:dyDescent="0.35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 x14ac:dyDescent="0.35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 x14ac:dyDescent="0.35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 x14ac:dyDescent="0.35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 x14ac:dyDescent="0.35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 x14ac:dyDescent="0.35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 x14ac:dyDescent="0.35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 x14ac:dyDescent="0.35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 x14ac:dyDescent="0.35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 x14ac:dyDescent="0.35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 x14ac:dyDescent="0.35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 x14ac:dyDescent="0.35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 x14ac:dyDescent="0.35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 x14ac:dyDescent="0.35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 x14ac:dyDescent="0.35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 x14ac:dyDescent="0.35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 x14ac:dyDescent="0.35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 x14ac:dyDescent="0.35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 x14ac:dyDescent="0.35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 x14ac:dyDescent="0.35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 x14ac:dyDescent="0.35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 x14ac:dyDescent="0.35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 x14ac:dyDescent="0.35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 x14ac:dyDescent="0.35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 x14ac:dyDescent="0.35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 x14ac:dyDescent="0.35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 x14ac:dyDescent="0.35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 x14ac:dyDescent="0.35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 x14ac:dyDescent="0.35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 x14ac:dyDescent="0.35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 x14ac:dyDescent="0.35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 x14ac:dyDescent="0.35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 x14ac:dyDescent="0.35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 x14ac:dyDescent="0.35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 x14ac:dyDescent="0.35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 x14ac:dyDescent="0.35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 x14ac:dyDescent="0.35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 x14ac:dyDescent="0.35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 x14ac:dyDescent="0.35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 x14ac:dyDescent="0.35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 x14ac:dyDescent="0.35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 x14ac:dyDescent="0.35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 x14ac:dyDescent="0.35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 x14ac:dyDescent="0.35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 x14ac:dyDescent="0.35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 x14ac:dyDescent="0.35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 x14ac:dyDescent="0.35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 x14ac:dyDescent="0.35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 x14ac:dyDescent="0.35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 x14ac:dyDescent="0.35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 x14ac:dyDescent="0.35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 x14ac:dyDescent="0.35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 x14ac:dyDescent="0.35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 x14ac:dyDescent="0.35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 x14ac:dyDescent="0.35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 x14ac:dyDescent="0.35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 x14ac:dyDescent="0.35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 x14ac:dyDescent="0.35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 x14ac:dyDescent="0.35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 x14ac:dyDescent="0.35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 x14ac:dyDescent="0.35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 x14ac:dyDescent="0.35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 x14ac:dyDescent="0.35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 x14ac:dyDescent="0.35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 x14ac:dyDescent="0.35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 x14ac:dyDescent="0.35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 x14ac:dyDescent="0.35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 x14ac:dyDescent="0.35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 x14ac:dyDescent="0.35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 x14ac:dyDescent="0.35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 x14ac:dyDescent="0.35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 x14ac:dyDescent="0.35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 x14ac:dyDescent="0.35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 x14ac:dyDescent="0.35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 x14ac:dyDescent="0.35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 x14ac:dyDescent="0.35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 x14ac:dyDescent="0.35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 x14ac:dyDescent="0.35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 x14ac:dyDescent="0.35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 x14ac:dyDescent="0.35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 x14ac:dyDescent="0.35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 x14ac:dyDescent="0.35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 x14ac:dyDescent="0.35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 x14ac:dyDescent="0.35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 x14ac:dyDescent="0.35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 x14ac:dyDescent="0.35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 x14ac:dyDescent="0.35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 x14ac:dyDescent="0.35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 x14ac:dyDescent="0.35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 x14ac:dyDescent="0.35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 x14ac:dyDescent="0.35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 x14ac:dyDescent="0.35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 x14ac:dyDescent="0.35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 x14ac:dyDescent="0.35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 x14ac:dyDescent="0.35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 x14ac:dyDescent="0.35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 x14ac:dyDescent="0.35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 x14ac:dyDescent="0.35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 x14ac:dyDescent="0.35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 x14ac:dyDescent="0.35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 x14ac:dyDescent="0.35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 x14ac:dyDescent="0.35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 x14ac:dyDescent="0.35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 x14ac:dyDescent="0.35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 x14ac:dyDescent="0.35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 x14ac:dyDescent="0.35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 x14ac:dyDescent="0.35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 x14ac:dyDescent="0.35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 x14ac:dyDescent="0.35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 x14ac:dyDescent="0.35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 x14ac:dyDescent="0.35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 x14ac:dyDescent="0.35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 x14ac:dyDescent="0.35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 x14ac:dyDescent="0.35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 x14ac:dyDescent="0.35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 x14ac:dyDescent="0.35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 x14ac:dyDescent="0.35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 x14ac:dyDescent="0.35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 x14ac:dyDescent="0.35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 x14ac:dyDescent="0.35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 x14ac:dyDescent="0.35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 x14ac:dyDescent="0.35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 x14ac:dyDescent="0.35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 x14ac:dyDescent="0.35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 x14ac:dyDescent="0.35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 x14ac:dyDescent="0.35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 x14ac:dyDescent="0.35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 x14ac:dyDescent="0.35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 x14ac:dyDescent="0.35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 x14ac:dyDescent="0.35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 x14ac:dyDescent="0.35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 x14ac:dyDescent="0.35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 x14ac:dyDescent="0.35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 x14ac:dyDescent="0.35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 x14ac:dyDescent="0.35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 x14ac:dyDescent="0.35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 x14ac:dyDescent="0.35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 x14ac:dyDescent="0.35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 x14ac:dyDescent="0.35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 x14ac:dyDescent="0.35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 x14ac:dyDescent="0.35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 x14ac:dyDescent="0.35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 x14ac:dyDescent="0.35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 x14ac:dyDescent="0.35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 x14ac:dyDescent="0.35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 x14ac:dyDescent="0.35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 x14ac:dyDescent="0.35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 x14ac:dyDescent="0.35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 x14ac:dyDescent="0.35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 x14ac:dyDescent="0.35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 x14ac:dyDescent="0.35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 x14ac:dyDescent="0.35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 x14ac:dyDescent="0.35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 x14ac:dyDescent="0.35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 x14ac:dyDescent="0.35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 x14ac:dyDescent="0.35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 x14ac:dyDescent="0.35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 x14ac:dyDescent="0.35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 x14ac:dyDescent="0.35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 x14ac:dyDescent="0.35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 x14ac:dyDescent="0.35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 x14ac:dyDescent="0.35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 x14ac:dyDescent="0.35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 x14ac:dyDescent="0.35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 x14ac:dyDescent="0.35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 x14ac:dyDescent="0.35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 x14ac:dyDescent="0.35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 x14ac:dyDescent="0.35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 x14ac:dyDescent="0.35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 x14ac:dyDescent="0.35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 x14ac:dyDescent="0.35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 x14ac:dyDescent="0.35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 x14ac:dyDescent="0.35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 x14ac:dyDescent="0.35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 x14ac:dyDescent="0.35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 x14ac:dyDescent="0.35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 x14ac:dyDescent="0.35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 x14ac:dyDescent="0.35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 x14ac:dyDescent="0.35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 x14ac:dyDescent="0.35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 x14ac:dyDescent="0.35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 x14ac:dyDescent="0.35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 x14ac:dyDescent="0.35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 x14ac:dyDescent="0.35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 x14ac:dyDescent="0.35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 x14ac:dyDescent="0.35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 x14ac:dyDescent="0.35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 x14ac:dyDescent="0.35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 x14ac:dyDescent="0.35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 x14ac:dyDescent="0.35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 x14ac:dyDescent="0.35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 x14ac:dyDescent="0.35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 x14ac:dyDescent="0.35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 x14ac:dyDescent="0.35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 x14ac:dyDescent="0.35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 x14ac:dyDescent="0.35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 x14ac:dyDescent="0.35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 x14ac:dyDescent="0.35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 x14ac:dyDescent="0.35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 x14ac:dyDescent="0.35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 x14ac:dyDescent="0.35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 x14ac:dyDescent="0.35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 x14ac:dyDescent="0.35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 x14ac:dyDescent="0.35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 x14ac:dyDescent="0.35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 x14ac:dyDescent="0.35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 x14ac:dyDescent="0.35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 x14ac:dyDescent="0.35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 x14ac:dyDescent="0.35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 x14ac:dyDescent="0.35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 x14ac:dyDescent="0.35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 x14ac:dyDescent="0.35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 x14ac:dyDescent="0.35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 x14ac:dyDescent="0.35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 x14ac:dyDescent="0.35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 x14ac:dyDescent="0.35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 x14ac:dyDescent="0.35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 x14ac:dyDescent="0.35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 x14ac:dyDescent="0.35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 x14ac:dyDescent="0.35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 x14ac:dyDescent="0.35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 x14ac:dyDescent="0.35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 x14ac:dyDescent="0.35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 x14ac:dyDescent="0.35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 x14ac:dyDescent="0.35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 x14ac:dyDescent="0.35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 x14ac:dyDescent="0.35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 x14ac:dyDescent="0.35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 x14ac:dyDescent="0.35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 x14ac:dyDescent="0.35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 x14ac:dyDescent="0.35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 x14ac:dyDescent="0.35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 x14ac:dyDescent="0.35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 x14ac:dyDescent="0.35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 x14ac:dyDescent="0.35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 x14ac:dyDescent="0.35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 x14ac:dyDescent="0.35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 x14ac:dyDescent="0.35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 x14ac:dyDescent="0.35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 x14ac:dyDescent="0.35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 x14ac:dyDescent="0.35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 x14ac:dyDescent="0.35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 x14ac:dyDescent="0.35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 x14ac:dyDescent="0.35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 x14ac:dyDescent="0.35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 x14ac:dyDescent="0.35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 x14ac:dyDescent="0.35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 x14ac:dyDescent="0.35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 x14ac:dyDescent="0.35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 x14ac:dyDescent="0.35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 x14ac:dyDescent="0.35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 x14ac:dyDescent="0.35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 x14ac:dyDescent="0.35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 x14ac:dyDescent="0.35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 x14ac:dyDescent="0.35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 x14ac:dyDescent="0.35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 x14ac:dyDescent="0.35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 x14ac:dyDescent="0.35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 x14ac:dyDescent="0.35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 x14ac:dyDescent="0.35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 x14ac:dyDescent="0.35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 x14ac:dyDescent="0.35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 x14ac:dyDescent="0.35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 x14ac:dyDescent="0.35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 x14ac:dyDescent="0.35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 x14ac:dyDescent="0.35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 x14ac:dyDescent="0.35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 x14ac:dyDescent="0.35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 x14ac:dyDescent="0.35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 x14ac:dyDescent="0.35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 x14ac:dyDescent="0.35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 x14ac:dyDescent="0.35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 x14ac:dyDescent="0.35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 x14ac:dyDescent="0.35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 x14ac:dyDescent="0.35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 x14ac:dyDescent="0.35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 x14ac:dyDescent="0.35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 x14ac:dyDescent="0.35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 x14ac:dyDescent="0.35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 x14ac:dyDescent="0.35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 x14ac:dyDescent="0.35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 x14ac:dyDescent="0.35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 x14ac:dyDescent="0.35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 x14ac:dyDescent="0.35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 x14ac:dyDescent="0.35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 x14ac:dyDescent="0.35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 x14ac:dyDescent="0.35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 x14ac:dyDescent="0.35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 x14ac:dyDescent="0.35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 x14ac:dyDescent="0.35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 x14ac:dyDescent="0.35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 x14ac:dyDescent="0.35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 x14ac:dyDescent="0.35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 x14ac:dyDescent="0.35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 x14ac:dyDescent="0.35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 x14ac:dyDescent="0.35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 x14ac:dyDescent="0.35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 x14ac:dyDescent="0.35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 x14ac:dyDescent="0.35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 x14ac:dyDescent="0.35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 x14ac:dyDescent="0.35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 x14ac:dyDescent="0.35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 x14ac:dyDescent="0.35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 x14ac:dyDescent="0.35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 x14ac:dyDescent="0.35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 x14ac:dyDescent="0.35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 x14ac:dyDescent="0.35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 x14ac:dyDescent="0.35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 x14ac:dyDescent="0.35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 x14ac:dyDescent="0.35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 x14ac:dyDescent="0.35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 x14ac:dyDescent="0.35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 x14ac:dyDescent="0.35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 x14ac:dyDescent="0.35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 x14ac:dyDescent="0.35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 x14ac:dyDescent="0.35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 x14ac:dyDescent="0.35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 x14ac:dyDescent="0.35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 x14ac:dyDescent="0.35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 x14ac:dyDescent="0.35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 x14ac:dyDescent="0.35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 x14ac:dyDescent="0.35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 x14ac:dyDescent="0.35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 x14ac:dyDescent="0.35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 x14ac:dyDescent="0.35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 x14ac:dyDescent="0.35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 x14ac:dyDescent="0.35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 x14ac:dyDescent="0.35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 x14ac:dyDescent="0.35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 x14ac:dyDescent="0.35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 x14ac:dyDescent="0.35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 x14ac:dyDescent="0.35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 x14ac:dyDescent="0.35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 x14ac:dyDescent="0.35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 x14ac:dyDescent="0.35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 x14ac:dyDescent="0.35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 x14ac:dyDescent="0.35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 x14ac:dyDescent="0.35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 x14ac:dyDescent="0.35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 x14ac:dyDescent="0.35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 x14ac:dyDescent="0.35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 x14ac:dyDescent="0.35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 x14ac:dyDescent="0.35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 x14ac:dyDescent="0.35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 x14ac:dyDescent="0.35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 x14ac:dyDescent="0.35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 x14ac:dyDescent="0.35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 x14ac:dyDescent="0.35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 x14ac:dyDescent="0.35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 x14ac:dyDescent="0.35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 x14ac:dyDescent="0.35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 x14ac:dyDescent="0.35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 x14ac:dyDescent="0.35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 x14ac:dyDescent="0.35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 x14ac:dyDescent="0.35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 x14ac:dyDescent="0.35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 x14ac:dyDescent="0.35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 x14ac:dyDescent="0.35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 x14ac:dyDescent="0.35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 x14ac:dyDescent="0.35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 x14ac:dyDescent="0.35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 x14ac:dyDescent="0.35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 x14ac:dyDescent="0.35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 x14ac:dyDescent="0.35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 x14ac:dyDescent="0.35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 x14ac:dyDescent="0.35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 x14ac:dyDescent="0.35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 x14ac:dyDescent="0.35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 x14ac:dyDescent="0.35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 x14ac:dyDescent="0.35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 x14ac:dyDescent="0.35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 x14ac:dyDescent="0.35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 x14ac:dyDescent="0.35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 x14ac:dyDescent="0.35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 x14ac:dyDescent="0.35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 x14ac:dyDescent="0.35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 x14ac:dyDescent="0.35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 x14ac:dyDescent="0.35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 x14ac:dyDescent="0.35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 x14ac:dyDescent="0.35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 x14ac:dyDescent="0.35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 x14ac:dyDescent="0.35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 x14ac:dyDescent="0.35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 x14ac:dyDescent="0.35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 x14ac:dyDescent="0.35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 x14ac:dyDescent="0.35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 x14ac:dyDescent="0.35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 x14ac:dyDescent="0.35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 x14ac:dyDescent="0.35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 x14ac:dyDescent="0.35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 x14ac:dyDescent="0.35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 x14ac:dyDescent="0.35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 x14ac:dyDescent="0.35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 x14ac:dyDescent="0.35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 x14ac:dyDescent="0.35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 x14ac:dyDescent="0.35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 x14ac:dyDescent="0.35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 x14ac:dyDescent="0.35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 x14ac:dyDescent="0.35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 x14ac:dyDescent="0.35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 x14ac:dyDescent="0.35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 x14ac:dyDescent="0.35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 x14ac:dyDescent="0.35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 x14ac:dyDescent="0.35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 x14ac:dyDescent="0.35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 x14ac:dyDescent="0.35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 x14ac:dyDescent="0.35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 x14ac:dyDescent="0.35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 x14ac:dyDescent="0.35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 x14ac:dyDescent="0.35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 x14ac:dyDescent="0.35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 x14ac:dyDescent="0.35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 x14ac:dyDescent="0.35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 x14ac:dyDescent="0.35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 x14ac:dyDescent="0.35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 x14ac:dyDescent="0.35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 x14ac:dyDescent="0.35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 x14ac:dyDescent="0.35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 x14ac:dyDescent="0.35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 x14ac:dyDescent="0.35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 x14ac:dyDescent="0.35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 x14ac:dyDescent="0.35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 x14ac:dyDescent="0.35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 x14ac:dyDescent="0.35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 x14ac:dyDescent="0.35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 x14ac:dyDescent="0.35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 x14ac:dyDescent="0.35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 x14ac:dyDescent="0.35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 x14ac:dyDescent="0.35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 x14ac:dyDescent="0.35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 x14ac:dyDescent="0.35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 x14ac:dyDescent="0.35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 x14ac:dyDescent="0.35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 x14ac:dyDescent="0.35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 x14ac:dyDescent="0.35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 x14ac:dyDescent="0.35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 x14ac:dyDescent="0.35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 x14ac:dyDescent="0.35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 x14ac:dyDescent="0.35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 x14ac:dyDescent="0.35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 x14ac:dyDescent="0.35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 x14ac:dyDescent="0.35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 x14ac:dyDescent="0.35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 x14ac:dyDescent="0.35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 x14ac:dyDescent="0.35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 x14ac:dyDescent="0.35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 x14ac:dyDescent="0.35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 x14ac:dyDescent="0.35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 x14ac:dyDescent="0.35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 x14ac:dyDescent="0.35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 x14ac:dyDescent="0.35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 x14ac:dyDescent="0.35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 x14ac:dyDescent="0.35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 x14ac:dyDescent="0.35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 x14ac:dyDescent="0.35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 x14ac:dyDescent="0.35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 x14ac:dyDescent="0.35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 x14ac:dyDescent="0.35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 x14ac:dyDescent="0.35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 x14ac:dyDescent="0.35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 x14ac:dyDescent="0.35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 x14ac:dyDescent="0.35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 x14ac:dyDescent="0.35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 x14ac:dyDescent="0.35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 x14ac:dyDescent="0.35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 x14ac:dyDescent="0.35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 x14ac:dyDescent="0.35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 x14ac:dyDescent="0.35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 x14ac:dyDescent="0.35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 x14ac:dyDescent="0.35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 x14ac:dyDescent="0.35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 x14ac:dyDescent="0.35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 x14ac:dyDescent="0.35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 x14ac:dyDescent="0.35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 x14ac:dyDescent="0.35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 x14ac:dyDescent="0.35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 x14ac:dyDescent="0.35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 x14ac:dyDescent="0.35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 x14ac:dyDescent="0.35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 x14ac:dyDescent="0.35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 x14ac:dyDescent="0.35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 x14ac:dyDescent="0.35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 x14ac:dyDescent="0.35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 x14ac:dyDescent="0.35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 x14ac:dyDescent="0.35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 x14ac:dyDescent="0.35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 x14ac:dyDescent="0.35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 x14ac:dyDescent="0.35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 x14ac:dyDescent="0.35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 x14ac:dyDescent="0.35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 x14ac:dyDescent="0.35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 x14ac:dyDescent="0.35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 x14ac:dyDescent="0.35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 x14ac:dyDescent="0.35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 x14ac:dyDescent="0.35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 x14ac:dyDescent="0.35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 x14ac:dyDescent="0.35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 x14ac:dyDescent="0.35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 x14ac:dyDescent="0.35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 x14ac:dyDescent="0.35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 x14ac:dyDescent="0.35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 x14ac:dyDescent="0.35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 x14ac:dyDescent="0.35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 x14ac:dyDescent="0.35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 x14ac:dyDescent="0.35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 x14ac:dyDescent="0.35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 x14ac:dyDescent="0.35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 x14ac:dyDescent="0.35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 x14ac:dyDescent="0.35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 x14ac:dyDescent="0.35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 x14ac:dyDescent="0.35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 x14ac:dyDescent="0.35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 x14ac:dyDescent="0.35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 x14ac:dyDescent="0.35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 x14ac:dyDescent="0.35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 x14ac:dyDescent="0.35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 x14ac:dyDescent="0.35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 x14ac:dyDescent="0.35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 x14ac:dyDescent="0.35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 x14ac:dyDescent="0.35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 x14ac:dyDescent="0.35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 x14ac:dyDescent="0.35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 x14ac:dyDescent="0.35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 x14ac:dyDescent="0.35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 x14ac:dyDescent="0.35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 x14ac:dyDescent="0.35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 x14ac:dyDescent="0.35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 x14ac:dyDescent="0.35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 x14ac:dyDescent="0.35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 x14ac:dyDescent="0.35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 x14ac:dyDescent="0.35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 x14ac:dyDescent="0.35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 x14ac:dyDescent="0.35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 x14ac:dyDescent="0.35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 x14ac:dyDescent="0.35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 x14ac:dyDescent="0.35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 x14ac:dyDescent="0.35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 x14ac:dyDescent="0.35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 x14ac:dyDescent="0.35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 x14ac:dyDescent="0.35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 x14ac:dyDescent="0.35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 x14ac:dyDescent="0.35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 x14ac:dyDescent="0.35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 x14ac:dyDescent="0.35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 x14ac:dyDescent="0.35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 x14ac:dyDescent="0.35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 x14ac:dyDescent="0.35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 x14ac:dyDescent="0.35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 x14ac:dyDescent="0.35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 x14ac:dyDescent="0.35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 x14ac:dyDescent="0.35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 x14ac:dyDescent="0.35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 x14ac:dyDescent="0.35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 x14ac:dyDescent="0.35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 x14ac:dyDescent="0.35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 x14ac:dyDescent="0.35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 x14ac:dyDescent="0.35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 x14ac:dyDescent="0.35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 x14ac:dyDescent="0.35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 x14ac:dyDescent="0.35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 x14ac:dyDescent="0.35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 x14ac:dyDescent="0.35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 x14ac:dyDescent="0.35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 x14ac:dyDescent="0.35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 x14ac:dyDescent="0.35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 x14ac:dyDescent="0.35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 x14ac:dyDescent="0.35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 x14ac:dyDescent="0.35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 x14ac:dyDescent="0.35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 x14ac:dyDescent="0.35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 x14ac:dyDescent="0.35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 x14ac:dyDescent="0.35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 x14ac:dyDescent="0.35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 x14ac:dyDescent="0.35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 x14ac:dyDescent="0.35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 x14ac:dyDescent="0.35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 x14ac:dyDescent="0.35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 x14ac:dyDescent="0.35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 x14ac:dyDescent="0.35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 x14ac:dyDescent="0.35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 x14ac:dyDescent="0.35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 x14ac:dyDescent="0.35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 x14ac:dyDescent="0.35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 x14ac:dyDescent="0.35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 x14ac:dyDescent="0.35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 x14ac:dyDescent="0.35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 x14ac:dyDescent="0.35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 x14ac:dyDescent="0.35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 x14ac:dyDescent="0.35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 x14ac:dyDescent="0.35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 x14ac:dyDescent="0.35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 x14ac:dyDescent="0.35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 x14ac:dyDescent="0.35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 x14ac:dyDescent="0.35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 x14ac:dyDescent="0.35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 x14ac:dyDescent="0.35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 x14ac:dyDescent="0.35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 x14ac:dyDescent="0.35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 x14ac:dyDescent="0.35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 x14ac:dyDescent="0.35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 x14ac:dyDescent="0.35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 x14ac:dyDescent="0.35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 x14ac:dyDescent="0.35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 x14ac:dyDescent="0.35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 x14ac:dyDescent="0.35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 x14ac:dyDescent="0.35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 x14ac:dyDescent="0.35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 x14ac:dyDescent="0.35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 x14ac:dyDescent="0.35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 x14ac:dyDescent="0.35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 x14ac:dyDescent="0.35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 x14ac:dyDescent="0.35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 x14ac:dyDescent="0.35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 x14ac:dyDescent="0.35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 x14ac:dyDescent="0.35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 x14ac:dyDescent="0.35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 x14ac:dyDescent="0.35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 x14ac:dyDescent="0.35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 x14ac:dyDescent="0.35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 x14ac:dyDescent="0.35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 x14ac:dyDescent="0.35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 x14ac:dyDescent="0.35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 x14ac:dyDescent="0.35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 x14ac:dyDescent="0.35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 x14ac:dyDescent="0.35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 x14ac:dyDescent="0.35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 x14ac:dyDescent="0.35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 x14ac:dyDescent="0.35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 x14ac:dyDescent="0.35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 x14ac:dyDescent="0.35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 x14ac:dyDescent="0.35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 x14ac:dyDescent="0.35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 x14ac:dyDescent="0.35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 x14ac:dyDescent="0.35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 x14ac:dyDescent="0.35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 x14ac:dyDescent="0.35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 x14ac:dyDescent="0.35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 x14ac:dyDescent="0.35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 x14ac:dyDescent="0.35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 x14ac:dyDescent="0.35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 x14ac:dyDescent="0.35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 x14ac:dyDescent="0.35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 x14ac:dyDescent="0.35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 x14ac:dyDescent="0.35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 x14ac:dyDescent="0.35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 x14ac:dyDescent="0.35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 x14ac:dyDescent="0.35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 x14ac:dyDescent="0.35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 x14ac:dyDescent="0.35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 x14ac:dyDescent="0.35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 x14ac:dyDescent="0.35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 x14ac:dyDescent="0.35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 x14ac:dyDescent="0.35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 x14ac:dyDescent="0.35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 x14ac:dyDescent="0.35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 x14ac:dyDescent="0.35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 x14ac:dyDescent="0.35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 x14ac:dyDescent="0.35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 x14ac:dyDescent="0.35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 x14ac:dyDescent="0.35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 x14ac:dyDescent="0.35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 x14ac:dyDescent="0.35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 x14ac:dyDescent="0.35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 x14ac:dyDescent="0.35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 x14ac:dyDescent="0.35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 x14ac:dyDescent="0.35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 x14ac:dyDescent="0.35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 x14ac:dyDescent="0.35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 x14ac:dyDescent="0.35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 x14ac:dyDescent="0.35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 x14ac:dyDescent="0.35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 x14ac:dyDescent="0.35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 x14ac:dyDescent="0.35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 x14ac:dyDescent="0.35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 x14ac:dyDescent="0.35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 x14ac:dyDescent="0.35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 x14ac:dyDescent="0.35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 x14ac:dyDescent="0.35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 x14ac:dyDescent="0.35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 x14ac:dyDescent="0.35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 x14ac:dyDescent="0.35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 x14ac:dyDescent="0.35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 x14ac:dyDescent="0.35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 x14ac:dyDescent="0.35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 x14ac:dyDescent="0.35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 x14ac:dyDescent="0.35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 x14ac:dyDescent="0.35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 x14ac:dyDescent="0.35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 x14ac:dyDescent="0.35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 x14ac:dyDescent="0.35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 x14ac:dyDescent="0.35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 x14ac:dyDescent="0.35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 x14ac:dyDescent="0.35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 x14ac:dyDescent="0.35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 x14ac:dyDescent="0.35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 x14ac:dyDescent="0.35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 x14ac:dyDescent="0.35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 x14ac:dyDescent="0.35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 x14ac:dyDescent="0.35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 x14ac:dyDescent="0.35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 x14ac:dyDescent="0.35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 x14ac:dyDescent="0.35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 x14ac:dyDescent="0.35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 x14ac:dyDescent="0.35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 x14ac:dyDescent="0.35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 x14ac:dyDescent="0.35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 x14ac:dyDescent="0.35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 x14ac:dyDescent="0.35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 x14ac:dyDescent="0.35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 x14ac:dyDescent="0.35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 x14ac:dyDescent="0.35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 x14ac:dyDescent="0.35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 x14ac:dyDescent="0.35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 x14ac:dyDescent="0.35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 x14ac:dyDescent="0.35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 x14ac:dyDescent="0.35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 x14ac:dyDescent="0.35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 x14ac:dyDescent="0.35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 x14ac:dyDescent="0.35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 x14ac:dyDescent="0.35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 x14ac:dyDescent="0.35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 x14ac:dyDescent="0.35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 x14ac:dyDescent="0.35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 x14ac:dyDescent="0.35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 x14ac:dyDescent="0.35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 x14ac:dyDescent="0.35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 x14ac:dyDescent="0.35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 x14ac:dyDescent="0.35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 x14ac:dyDescent="0.35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 x14ac:dyDescent="0.35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 x14ac:dyDescent="0.35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 x14ac:dyDescent="0.35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 x14ac:dyDescent="0.35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 x14ac:dyDescent="0.35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 x14ac:dyDescent="0.35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 x14ac:dyDescent="0.35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 x14ac:dyDescent="0.35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 x14ac:dyDescent="0.35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 x14ac:dyDescent="0.35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 x14ac:dyDescent="0.35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 x14ac:dyDescent="0.35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 x14ac:dyDescent="0.35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 x14ac:dyDescent="0.35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 x14ac:dyDescent="0.35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 x14ac:dyDescent="0.35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 x14ac:dyDescent="0.35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 x14ac:dyDescent="0.35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 x14ac:dyDescent="0.35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 x14ac:dyDescent="0.35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 x14ac:dyDescent="0.35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 x14ac:dyDescent="0.35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 x14ac:dyDescent="0.35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 x14ac:dyDescent="0.35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 x14ac:dyDescent="0.35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 x14ac:dyDescent="0.35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 x14ac:dyDescent="0.35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 x14ac:dyDescent="0.35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 x14ac:dyDescent="0.35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 x14ac:dyDescent="0.35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 x14ac:dyDescent="0.35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 x14ac:dyDescent="0.35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 x14ac:dyDescent="0.35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 x14ac:dyDescent="0.35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 x14ac:dyDescent="0.35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 x14ac:dyDescent="0.35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 x14ac:dyDescent="0.35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 x14ac:dyDescent="0.35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 x14ac:dyDescent="0.35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 x14ac:dyDescent="0.35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 x14ac:dyDescent="0.35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 x14ac:dyDescent="0.35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 x14ac:dyDescent="0.35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 x14ac:dyDescent="0.35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 x14ac:dyDescent="0.35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 x14ac:dyDescent="0.35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 x14ac:dyDescent="0.35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 x14ac:dyDescent="0.35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 x14ac:dyDescent="0.35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 x14ac:dyDescent="0.35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 x14ac:dyDescent="0.35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 x14ac:dyDescent="0.35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 x14ac:dyDescent="0.35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 x14ac:dyDescent="0.35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 x14ac:dyDescent="0.35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 x14ac:dyDescent="0.35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 x14ac:dyDescent="0.35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 x14ac:dyDescent="0.35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 x14ac:dyDescent="0.35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 x14ac:dyDescent="0.35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 x14ac:dyDescent="0.35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 x14ac:dyDescent="0.35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 x14ac:dyDescent="0.35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 x14ac:dyDescent="0.35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 x14ac:dyDescent="0.35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 x14ac:dyDescent="0.35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 x14ac:dyDescent="0.35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 x14ac:dyDescent="0.35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 x14ac:dyDescent="0.35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 x14ac:dyDescent="0.35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 x14ac:dyDescent="0.35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 x14ac:dyDescent="0.35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 x14ac:dyDescent="0.35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 x14ac:dyDescent="0.35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 x14ac:dyDescent="0.35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 x14ac:dyDescent="0.35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 x14ac:dyDescent="0.35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 x14ac:dyDescent="0.35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 x14ac:dyDescent="0.35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 x14ac:dyDescent="0.35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 x14ac:dyDescent="0.35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 x14ac:dyDescent="0.35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 x14ac:dyDescent="0.35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 x14ac:dyDescent="0.35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 x14ac:dyDescent="0.35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 x14ac:dyDescent="0.35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 x14ac:dyDescent="0.35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 x14ac:dyDescent="0.35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 x14ac:dyDescent="0.35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 x14ac:dyDescent="0.35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 x14ac:dyDescent="0.35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 x14ac:dyDescent="0.35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 x14ac:dyDescent="0.35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 x14ac:dyDescent="0.35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 x14ac:dyDescent="0.35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 x14ac:dyDescent="0.35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 x14ac:dyDescent="0.35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 x14ac:dyDescent="0.35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 x14ac:dyDescent="0.35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 x14ac:dyDescent="0.35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 x14ac:dyDescent="0.35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 x14ac:dyDescent="0.35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 x14ac:dyDescent="0.35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 x14ac:dyDescent="0.35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 x14ac:dyDescent="0.35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 x14ac:dyDescent="0.35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 x14ac:dyDescent="0.35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 x14ac:dyDescent="0.35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 x14ac:dyDescent="0.35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 x14ac:dyDescent="0.35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 x14ac:dyDescent="0.35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 x14ac:dyDescent="0.35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 x14ac:dyDescent="0.35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 x14ac:dyDescent="0.35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 x14ac:dyDescent="0.35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 x14ac:dyDescent="0.35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 x14ac:dyDescent="0.35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 x14ac:dyDescent="0.35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 x14ac:dyDescent="0.35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 x14ac:dyDescent="0.35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 x14ac:dyDescent="0.35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 x14ac:dyDescent="0.35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 x14ac:dyDescent="0.35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 x14ac:dyDescent="0.35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 x14ac:dyDescent="0.35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 x14ac:dyDescent="0.35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 x14ac:dyDescent="0.35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 x14ac:dyDescent="0.35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 x14ac:dyDescent="0.35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 x14ac:dyDescent="0.35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 x14ac:dyDescent="0.35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 x14ac:dyDescent="0.35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 x14ac:dyDescent="0.35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 x14ac:dyDescent="0.35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 x14ac:dyDescent="0.35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 x14ac:dyDescent="0.35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 x14ac:dyDescent="0.35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 x14ac:dyDescent="0.35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 x14ac:dyDescent="0.35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 x14ac:dyDescent="0.35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 x14ac:dyDescent="0.35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 x14ac:dyDescent="0.35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 x14ac:dyDescent="0.35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 x14ac:dyDescent="0.35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 x14ac:dyDescent="0.35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 x14ac:dyDescent="0.35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 x14ac:dyDescent="0.35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 x14ac:dyDescent="0.35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 x14ac:dyDescent="0.35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 x14ac:dyDescent="0.35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 x14ac:dyDescent="0.35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 x14ac:dyDescent="0.35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 x14ac:dyDescent="0.35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 x14ac:dyDescent="0.35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 x14ac:dyDescent="0.35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 x14ac:dyDescent="0.35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 x14ac:dyDescent="0.35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 x14ac:dyDescent="0.35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 x14ac:dyDescent="0.35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 x14ac:dyDescent="0.35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 x14ac:dyDescent="0.35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 x14ac:dyDescent="0.35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 x14ac:dyDescent="0.35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 x14ac:dyDescent="0.35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 x14ac:dyDescent="0.35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 x14ac:dyDescent="0.35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 x14ac:dyDescent="0.35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 x14ac:dyDescent="0.35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 x14ac:dyDescent="0.35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 x14ac:dyDescent="0.35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 x14ac:dyDescent="0.35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 x14ac:dyDescent="0.35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 x14ac:dyDescent="0.35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 x14ac:dyDescent="0.35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 x14ac:dyDescent="0.35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 x14ac:dyDescent="0.35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 x14ac:dyDescent="0.35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 x14ac:dyDescent="0.35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 x14ac:dyDescent="0.35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 x14ac:dyDescent="0.35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 x14ac:dyDescent="0.35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 x14ac:dyDescent="0.35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 x14ac:dyDescent="0.35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 x14ac:dyDescent="0.35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 x14ac:dyDescent="0.35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 x14ac:dyDescent="0.35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 x14ac:dyDescent="0.35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 x14ac:dyDescent="0.35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 x14ac:dyDescent="0.35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 x14ac:dyDescent="0.35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 x14ac:dyDescent="0.35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 x14ac:dyDescent="0.35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 x14ac:dyDescent="0.35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 x14ac:dyDescent="0.35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 x14ac:dyDescent="0.35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 x14ac:dyDescent="0.35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 x14ac:dyDescent="0.35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 x14ac:dyDescent="0.35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 x14ac:dyDescent="0.35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 x14ac:dyDescent="0.35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 x14ac:dyDescent="0.35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 x14ac:dyDescent="0.35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 x14ac:dyDescent="0.35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 x14ac:dyDescent="0.35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 x14ac:dyDescent="0.35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 x14ac:dyDescent="0.35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 x14ac:dyDescent="0.35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 x14ac:dyDescent="0.35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 x14ac:dyDescent="0.35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 x14ac:dyDescent="0.35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 x14ac:dyDescent="0.35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 x14ac:dyDescent="0.35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 x14ac:dyDescent="0.35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 x14ac:dyDescent="0.35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 x14ac:dyDescent="0.35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 x14ac:dyDescent="0.35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 x14ac:dyDescent="0.35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 x14ac:dyDescent="0.35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 x14ac:dyDescent="0.35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 x14ac:dyDescent="0.35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 x14ac:dyDescent="0.35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 x14ac:dyDescent="0.35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 x14ac:dyDescent="0.35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 x14ac:dyDescent="0.35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 x14ac:dyDescent="0.35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 x14ac:dyDescent="0.35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 x14ac:dyDescent="0.35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 x14ac:dyDescent="0.35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 x14ac:dyDescent="0.35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 x14ac:dyDescent="0.35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 x14ac:dyDescent="0.35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 x14ac:dyDescent="0.35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 x14ac:dyDescent="0.35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 x14ac:dyDescent="0.35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 x14ac:dyDescent="0.35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 x14ac:dyDescent="0.35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 x14ac:dyDescent="0.35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 x14ac:dyDescent="0.35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 x14ac:dyDescent="0.35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 x14ac:dyDescent="0.35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 x14ac:dyDescent="0.35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 x14ac:dyDescent="0.35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 x14ac:dyDescent="0.35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 x14ac:dyDescent="0.35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 x14ac:dyDescent="0.35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 x14ac:dyDescent="0.35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 x14ac:dyDescent="0.35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 x14ac:dyDescent="0.35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 x14ac:dyDescent="0.35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 x14ac:dyDescent="0.35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 x14ac:dyDescent="0.35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 x14ac:dyDescent="0.35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 x14ac:dyDescent="0.35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 x14ac:dyDescent="0.35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 x14ac:dyDescent="0.35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 x14ac:dyDescent="0.35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 x14ac:dyDescent="0.35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 x14ac:dyDescent="0.35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 x14ac:dyDescent="0.35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 x14ac:dyDescent="0.35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 x14ac:dyDescent="0.35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 x14ac:dyDescent="0.35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 x14ac:dyDescent="0.35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 x14ac:dyDescent="0.35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 x14ac:dyDescent="0.35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 x14ac:dyDescent="0.35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 x14ac:dyDescent="0.35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 x14ac:dyDescent="0.35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 x14ac:dyDescent="0.35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 x14ac:dyDescent="0.35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 x14ac:dyDescent="0.35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 x14ac:dyDescent="0.35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 x14ac:dyDescent="0.35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 x14ac:dyDescent="0.35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 x14ac:dyDescent="0.35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 x14ac:dyDescent="0.35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 x14ac:dyDescent="0.35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 x14ac:dyDescent="0.35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 x14ac:dyDescent="0.35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 x14ac:dyDescent="0.35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 x14ac:dyDescent="0.35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 x14ac:dyDescent="0.35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 x14ac:dyDescent="0.35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 x14ac:dyDescent="0.35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 x14ac:dyDescent="0.35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 x14ac:dyDescent="0.35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 x14ac:dyDescent="0.35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 x14ac:dyDescent="0.35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 x14ac:dyDescent="0.35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 x14ac:dyDescent="0.35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 x14ac:dyDescent="0.35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 x14ac:dyDescent="0.35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 x14ac:dyDescent="0.35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 x14ac:dyDescent="0.35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 x14ac:dyDescent="0.35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 x14ac:dyDescent="0.35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 x14ac:dyDescent="0.35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 x14ac:dyDescent="0.35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 x14ac:dyDescent="0.35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 x14ac:dyDescent="0.35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 x14ac:dyDescent="0.35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 x14ac:dyDescent="0.35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 x14ac:dyDescent="0.35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 x14ac:dyDescent="0.35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 x14ac:dyDescent="0.35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 x14ac:dyDescent="0.35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 x14ac:dyDescent="0.35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 x14ac:dyDescent="0.35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 x14ac:dyDescent="0.35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 x14ac:dyDescent="0.35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 x14ac:dyDescent="0.35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 x14ac:dyDescent="0.35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 x14ac:dyDescent="0.35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 x14ac:dyDescent="0.35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 x14ac:dyDescent="0.35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 x14ac:dyDescent="0.35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 x14ac:dyDescent="0.35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 x14ac:dyDescent="0.35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 x14ac:dyDescent="0.35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 x14ac:dyDescent="0.35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 x14ac:dyDescent="0.35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 x14ac:dyDescent="0.35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 x14ac:dyDescent="0.35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 x14ac:dyDescent="0.35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 x14ac:dyDescent="0.35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 x14ac:dyDescent="0.35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 x14ac:dyDescent="0.35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 x14ac:dyDescent="0.35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 x14ac:dyDescent="0.35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 x14ac:dyDescent="0.35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 x14ac:dyDescent="0.35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 x14ac:dyDescent="0.35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 x14ac:dyDescent="0.35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 x14ac:dyDescent="0.35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 x14ac:dyDescent="0.35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 x14ac:dyDescent="0.35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 x14ac:dyDescent="0.35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 x14ac:dyDescent="0.35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 x14ac:dyDescent="0.35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 x14ac:dyDescent="0.35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 x14ac:dyDescent="0.35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 x14ac:dyDescent="0.35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 x14ac:dyDescent="0.35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 x14ac:dyDescent="0.35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 x14ac:dyDescent="0.35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 x14ac:dyDescent="0.35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 x14ac:dyDescent="0.35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 x14ac:dyDescent="0.35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 x14ac:dyDescent="0.35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 x14ac:dyDescent="0.35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 x14ac:dyDescent="0.35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 x14ac:dyDescent="0.35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 x14ac:dyDescent="0.35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 x14ac:dyDescent="0.35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 x14ac:dyDescent="0.35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 x14ac:dyDescent="0.35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 x14ac:dyDescent="0.35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 x14ac:dyDescent="0.35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 x14ac:dyDescent="0.35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 x14ac:dyDescent="0.35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 x14ac:dyDescent="0.35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 x14ac:dyDescent="0.35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 x14ac:dyDescent="0.35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 x14ac:dyDescent="0.35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 x14ac:dyDescent="0.35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 x14ac:dyDescent="0.35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 x14ac:dyDescent="0.35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 x14ac:dyDescent="0.35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 x14ac:dyDescent="0.35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 x14ac:dyDescent="0.35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 x14ac:dyDescent="0.35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 x14ac:dyDescent="0.35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 x14ac:dyDescent="0.35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 x14ac:dyDescent="0.35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 x14ac:dyDescent="0.35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 x14ac:dyDescent="0.35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 x14ac:dyDescent="0.35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 x14ac:dyDescent="0.35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 x14ac:dyDescent="0.35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 x14ac:dyDescent="0.35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 x14ac:dyDescent="0.35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 x14ac:dyDescent="0.35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 x14ac:dyDescent="0.35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 x14ac:dyDescent="0.35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 x14ac:dyDescent="0.35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 x14ac:dyDescent="0.35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 x14ac:dyDescent="0.35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 x14ac:dyDescent="0.35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 x14ac:dyDescent="0.35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 x14ac:dyDescent="0.35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 x14ac:dyDescent="0.35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 x14ac:dyDescent="0.35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 x14ac:dyDescent="0.35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 x14ac:dyDescent="0.35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 x14ac:dyDescent="0.35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 x14ac:dyDescent="0.35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 x14ac:dyDescent="0.35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 x14ac:dyDescent="0.35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 x14ac:dyDescent="0.35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 x14ac:dyDescent="0.35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 x14ac:dyDescent="0.35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 x14ac:dyDescent="0.35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 x14ac:dyDescent="0.35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 x14ac:dyDescent="0.35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 x14ac:dyDescent="0.35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 x14ac:dyDescent="0.35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 x14ac:dyDescent="0.35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 x14ac:dyDescent="0.35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 x14ac:dyDescent="0.35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 x14ac:dyDescent="0.35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 x14ac:dyDescent="0.35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 x14ac:dyDescent="0.35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 x14ac:dyDescent="0.35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 x14ac:dyDescent="0.35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 x14ac:dyDescent="0.35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 x14ac:dyDescent="0.35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 x14ac:dyDescent="0.35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 x14ac:dyDescent="0.35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 x14ac:dyDescent="0.35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 x14ac:dyDescent="0.35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 x14ac:dyDescent="0.35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 x14ac:dyDescent="0.35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 x14ac:dyDescent="0.35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 x14ac:dyDescent="0.35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 x14ac:dyDescent="0.35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 x14ac:dyDescent="0.35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 x14ac:dyDescent="0.35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 x14ac:dyDescent="0.35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 x14ac:dyDescent="0.35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 x14ac:dyDescent="0.35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 x14ac:dyDescent="0.35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 x14ac:dyDescent="0.35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 x14ac:dyDescent="0.35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 x14ac:dyDescent="0.35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 x14ac:dyDescent="0.35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 x14ac:dyDescent="0.35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 x14ac:dyDescent="0.35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 x14ac:dyDescent="0.35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192e136c-2db4-4e41-b56f-7cfc7944e161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HOW TO USE</vt:lpstr>
      <vt:lpstr>CALCULS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tauxTransport.20240102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DE MAILLY NESLE Adrien</cp:lastModifiedBy>
  <cp:revision/>
  <dcterms:created xsi:type="dcterms:W3CDTF">2019-04-29T15:16:48Z</dcterms:created>
  <dcterms:modified xsi:type="dcterms:W3CDTF">2025-01-13T10:28:30Z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