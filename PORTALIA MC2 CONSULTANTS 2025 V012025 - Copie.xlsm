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2.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user\Documents\ESILV_année_4\PI2_3\Portalia\"/>
    </mc:Choice>
  </mc:AlternateContent>
  <xr:revisionPtr revIDLastSave="0" documentId="13_ncr:1_{827EEA73-A9EF-4155-AE3D-41DA40465919}" xr6:coauthVersionLast="47" xr6:coauthVersionMax="47" xr10:uidLastSave="{00000000-0000-0000-0000-000000000000}"/>
  <bookViews>
    <workbookView xWindow="504" yWindow="1476" windowWidth="18648" windowHeight="9876" tabRatio="798" activeTab="6" xr2:uid="{00000000-000D-0000-FFFF-FFFF00000000}"/>
  </bookViews>
  <sheets>
    <sheet name="HOW TO USE" sheetId="7" r:id="rId1"/>
    <sheet name="1. Calcul Avec prov" sheetId="1" r:id="rId2"/>
    <sheet name="2. Calcul Sans prov" sheetId="3" r:id="rId3"/>
    <sheet name="3. Template" sheetId="6" r:id="rId4"/>
    <sheet name="Glossaire" sheetId="12" r:id="rId5"/>
    <sheet name="BS . Avec prov" sheetId="2" r:id="rId6"/>
    <sheet name="BS . Sans prov" sheetId="4" r:id="rId7"/>
  </sheets>
  <definedNames>
    <definedName name="PLA">'3. Template'!#REF!</definedName>
    <definedName name="t_corresp_com">#REF!</definedName>
    <definedName name="tx_taxe_transport">'1. Calcul Avec prov'!$M$27</definedName>
    <definedName name="_xlnm.Print_Area" localSheetId="3">'3. Template'!$A$1:$E$44</definedName>
  </definedNames>
  <calcPr calcId="191028" iterate="1" iterateDelta="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 l="1"/>
  <c r="E15" i="6"/>
  <c r="C3" i="6"/>
  <c r="C2" i="6"/>
  <c r="J21" i="1"/>
  <c r="G29" i="4"/>
  <c r="V9" i="4"/>
  <c r="X9" i="2"/>
  <c r="D6" i="4"/>
  <c r="D6" i="2"/>
  <c r="F36" i="4"/>
  <c r="F36" i="2"/>
  <c r="G29" i="2"/>
  <c r="M26" i="1" l="1"/>
  <c r="M27" i="1"/>
  <c r="M25" i="1"/>
  <c r="F37" i="4" l="1"/>
  <c r="F37" i="2"/>
  <c r="C7" i="6" l="1"/>
  <c r="C8" i="6"/>
  <c r="D11" i="6"/>
  <c r="E12" i="6"/>
  <c r="E13" i="6"/>
  <c r="E24" i="6"/>
  <c r="M10" i="1"/>
  <c r="K4" i="1" l="1"/>
  <c r="J4" i="3" l="1"/>
  <c r="J7" i="3"/>
  <c r="C29" i="2" l="1"/>
  <c r="N23" i="2" l="1"/>
  <c r="N24" i="2" l="1"/>
  <c r="M17" i="1"/>
  <c r="J18" i="3"/>
  <c r="J5" i="3"/>
  <c r="J16" i="3"/>
  <c r="M16" i="3" s="1"/>
  <c r="J22" i="3"/>
  <c r="E29" i="2" l="1"/>
  <c r="E29" i="4"/>
  <c r="L34" i="4"/>
  <c r="J20" i="3" l="1"/>
  <c r="C29" i="4" l="1"/>
  <c r="C10" i="4"/>
  <c r="C9" i="4"/>
  <c r="C8" i="4"/>
  <c r="C7" i="4"/>
  <c r="C6" i="4"/>
  <c r="C5" i="4"/>
  <c r="E6" i="4" l="1"/>
  <c r="M12" i="1" l="1"/>
  <c r="E18" i="6" s="1"/>
  <c r="J11" i="3" l="1"/>
  <c r="M11" i="3" s="1"/>
  <c r="E49" i="2" l="1"/>
  <c r="J13" i="1"/>
  <c r="E21" i="6" s="1"/>
  <c r="C46" i="2"/>
  <c r="C45" i="2"/>
  <c r="E48" i="2"/>
  <c r="C5" i="2"/>
  <c r="E30" i="6" l="1"/>
  <c r="C50" i="2"/>
  <c r="C54" i="2"/>
  <c r="C53" i="2"/>
  <c r="C52" i="2"/>
  <c r="C47" i="2"/>
  <c r="C43" i="2"/>
  <c r="C7" i="2"/>
  <c r="C9" i="2"/>
  <c r="C8" i="2"/>
  <c r="C6" i="2"/>
  <c r="E6" i="2" s="1"/>
  <c r="C10" i="2"/>
  <c r="J12" i="3" l="1"/>
  <c r="M12" i="3" s="1"/>
  <c r="M13" i="1" l="1"/>
  <c r="E46" i="2" l="1"/>
  <c r="D46" i="2" s="1"/>
  <c r="J6" i="3"/>
  <c r="B5" i="3"/>
  <c r="E5" i="4" l="1"/>
  <c r="D5" i="4" s="1"/>
  <c r="D7" i="4" s="1"/>
  <c r="E7" i="4" s="1"/>
  <c r="M7" i="3"/>
  <c r="M6" i="3"/>
  <c r="M9" i="3"/>
  <c r="M8" i="3"/>
  <c r="B5" i="1"/>
  <c r="E26" i="6" s="1"/>
  <c r="D8" i="4" l="1"/>
  <c r="D9" i="4" s="1"/>
  <c r="E5" i="2"/>
  <c r="D5" i="2" s="1"/>
  <c r="D7" i="2" s="1"/>
  <c r="D8" i="2" s="1"/>
  <c r="D9" i="2" s="1"/>
  <c r="J6" i="1"/>
  <c r="E9" i="6" s="1"/>
  <c r="E8" i="4" l="1"/>
  <c r="E9" i="4"/>
  <c r="D10" i="4"/>
  <c r="E7" i="2"/>
  <c r="D10" i="2"/>
  <c r="M8" i="1"/>
  <c r="M6" i="1"/>
  <c r="M7" i="1"/>
  <c r="E10" i="6" s="1"/>
  <c r="M9" i="1" l="1"/>
  <c r="E23" i="6" s="1"/>
  <c r="J13" i="3"/>
  <c r="J14" i="3" s="1"/>
  <c r="E10" i="4"/>
  <c r="C38" i="4" l="1"/>
  <c r="G38" i="4" s="1"/>
  <c r="V7" i="4"/>
  <c r="V8" i="4" s="1"/>
  <c r="C18" i="4"/>
  <c r="E18" i="4" s="1"/>
  <c r="C36" i="4"/>
  <c r="C37" i="4"/>
  <c r="E37" i="4" s="1"/>
  <c r="C28" i="4"/>
  <c r="C32" i="4"/>
  <c r="E32" i="4" s="1"/>
  <c r="C34" i="4"/>
  <c r="G34" i="4" s="1"/>
  <c r="C16" i="4"/>
  <c r="G16" i="4" s="1"/>
  <c r="C31" i="4"/>
  <c r="G31" i="4" s="1"/>
  <c r="C15" i="4"/>
  <c r="C21" i="4" s="1"/>
  <c r="C17" i="4"/>
  <c r="G17" i="4" s="1"/>
  <c r="C13" i="4"/>
  <c r="E13" i="4" s="1"/>
  <c r="C14" i="4"/>
  <c r="G14" i="4" s="1"/>
  <c r="C23" i="4"/>
  <c r="G23" i="4" s="1"/>
  <c r="C33" i="4"/>
  <c r="E33" i="4" s="1"/>
  <c r="C25" i="4"/>
  <c r="G25" i="4" s="1"/>
  <c r="C12" i="4"/>
  <c r="F12" i="4" s="1"/>
  <c r="G12" i="4" s="1"/>
  <c r="C35" i="4"/>
  <c r="E35" i="4" s="1"/>
  <c r="C19" i="4" l="1"/>
  <c r="C20" i="4" s="1"/>
  <c r="C22" i="4" s="1"/>
  <c r="G37" i="4"/>
  <c r="G32" i="4"/>
  <c r="G28" i="4"/>
  <c r="E28" i="4"/>
  <c r="E16" i="4"/>
  <c r="E38" i="4"/>
  <c r="C24" i="4"/>
  <c r="E17" i="4"/>
  <c r="E31" i="4"/>
  <c r="E34" i="4"/>
  <c r="G15" i="4"/>
  <c r="E14" i="4"/>
  <c r="E15" i="4"/>
  <c r="G13" i="4"/>
  <c r="E12" i="4"/>
  <c r="G35" i="4"/>
  <c r="G33" i="4"/>
  <c r="E23" i="4"/>
  <c r="G18" i="4"/>
  <c r="E25" i="4"/>
  <c r="E21" i="4"/>
  <c r="G21" i="4"/>
  <c r="G24" i="4" l="1"/>
  <c r="C27" i="4"/>
  <c r="E19" i="4"/>
  <c r="G36" i="4"/>
  <c r="E24" i="4"/>
  <c r="G19" i="4"/>
  <c r="E20" i="4"/>
  <c r="E22" i="4"/>
  <c r="G20" i="4"/>
  <c r="C26" i="4"/>
  <c r="G26" i="4" s="1"/>
  <c r="E27" i="4" l="1"/>
  <c r="G27" i="4"/>
  <c r="E36" i="4"/>
  <c r="G22" i="4"/>
  <c r="E26" i="4"/>
  <c r="E9" i="2"/>
  <c r="E8" i="2"/>
  <c r="C40" i="4" l="1"/>
  <c r="C39" i="4" s="1"/>
  <c r="G39" i="4" s="1"/>
  <c r="E30" i="4"/>
  <c r="G30" i="4" s="1"/>
  <c r="G40" i="4"/>
  <c r="E39" i="4"/>
  <c r="E42" i="4" s="1"/>
  <c r="E10" i="2"/>
  <c r="E40" i="4" l="1"/>
  <c r="C38" i="2"/>
  <c r="G38" i="2" s="1"/>
  <c r="X7" i="2"/>
  <c r="X8" i="2" s="1"/>
  <c r="C18" i="2"/>
  <c r="E18" i="2" s="1"/>
  <c r="G43" i="4"/>
  <c r="C37" i="2"/>
  <c r="C36" i="2"/>
  <c r="C35" i="2"/>
  <c r="G35" i="2" s="1"/>
  <c r="E41" i="4"/>
  <c r="E43" i="4" s="1"/>
  <c r="E45" i="4" s="1"/>
  <c r="C34" i="2"/>
  <c r="G34" i="2" s="1"/>
  <c r="C17" i="2"/>
  <c r="E17" i="2" s="1"/>
  <c r="C13" i="2"/>
  <c r="C16" i="2"/>
  <c r="G16" i="2" s="1"/>
  <c r="C31" i="2"/>
  <c r="E31" i="2" s="1"/>
  <c r="C28" i="2"/>
  <c r="G28" i="2" s="1"/>
  <c r="C32" i="2"/>
  <c r="G32" i="2" s="1"/>
  <c r="C15" i="2"/>
  <c r="C21" i="2" s="1"/>
  <c r="C25" i="2"/>
  <c r="E25" i="2" s="1"/>
  <c r="C33" i="2"/>
  <c r="E33" i="2" s="1"/>
  <c r="C14" i="2"/>
  <c r="G14" i="2" s="1"/>
  <c r="C12" i="2"/>
  <c r="C23" i="2"/>
  <c r="G23" i="2" s="1"/>
  <c r="E37" i="2" l="1"/>
  <c r="G37" i="2"/>
  <c r="G36" i="2"/>
  <c r="E36" i="2"/>
  <c r="C19" i="2"/>
  <c r="B6" i="3"/>
  <c r="E44" i="4"/>
  <c r="C51" i="4"/>
  <c r="H43" i="4"/>
  <c r="E47" i="4"/>
  <c r="B7" i="3"/>
  <c r="C50" i="4"/>
  <c r="E34" i="2"/>
  <c r="G17" i="2"/>
  <c r="E12" i="2"/>
  <c r="F12" i="2"/>
  <c r="G12" i="2" s="1"/>
  <c r="G13" i="2"/>
  <c r="E13" i="2"/>
  <c r="G31" i="2"/>
  <c r="E16" i="2"/>
  <c r="E32" i="2"/>
  <c r="E28" i="2"/>
  <c r="E38" i="2"/>
  <c r="G33" i="2"/>
  <c r="G25" i="2"/>
  <c r="E35" i="2"/>
  <c r="G15" i="2"/>
  <c r="E15" i="2"/>
  <c r="C24" i="2"/>
  <c r="C27" i="2" s="1"/>
  <c r="E14" i="2"/>
  <c r="E23" i="2"/>
  <c r="G18" i="2"/>
  <c r="G21" i="2"/>
  <c r="E21" i="2"/>
  <c r="E19" i="2" l="1"/>
  <c r="G19" i="2"/>
  <c r="C20" i="2"/>
  <c r="C22" i="2" s="1"/>
  <c r="B10" i="3"/>
  <c r="B11" i="3" s="1"/>
  <c r="K18" i="3"/>
  <c r="E48" i="4" s="1"/>
  <c r="B9" i="3"/>
  <c r="E53" i="2" s="1"/>
  <c r="E46" i="4"/>
  <c r="E24" i="2"/>
  <c r="G24" i="2"/>
  <c r="G27" i="2"/>
  <c r="E27" i="2"/>
  <c r="C40" i="2" l="1"/>
  <c r="E30" i="2"/>
  <c r="G30" i="2" s="1"/>
  <c r="E54" i="2"/>
  <c r="C26" i="2"/>
  <c r="E20" i="2"/>
  <c r="G20" i="2"/>
  <c r="B12" i="3"/>
  <c r="D53" i="2"/>
  <c r="G40" i="2"/>
  <c r="G22" i="2" l="1"/>
  <c r="E22" i="2"/>
  <c r="E26" i="2"/>
  <c r="G26" i="2"/>
  <c r="C59" i="2"/>
  <c r="D54" i="2"/>
  <c r="C39" i="2"/>
  <c r="E39" i="2" s="1"/>
  <c r="E40" i="2"/>
  <c r="G39" i="2" l="1"/>
  <c r="E42" i="2"/>
  <c r="E41" i="2"/>
  <c r="G43" i="2" l="1"/>
  <c r="E43" i="2"/>
  <c r="E29" i="6" s="1"/>
  <c r="E27" i="6" l="1"/>
  <c r="E47" i="2"/>
  <c r="H43" i="2"/>
  <c r="C56" i="2"/>
  <c r="C57" i="2"/>
  <c r="J14" i="1" s="1"/>
  <c r="E50" i="2"/>
  <c r="D50" i="2" s="1"/>
  <c r="B7" i="1"/>
  <c r="F43" i="2"/>
  <c r="B6" i="1"/>
  <c r="D43" i="2"/>
  <c r="E45" i="2"/>
  <c r="E44" i="2"/>
  <c r="K19" i="1" s="1"/>
  <c r="J15" i="1" l="1"/>
  <c r="E25" i="6"/>
  <c r="E52" i="2"/>
  <c r="E32" i="6" s="1"/>
  <c r="E28" i="6"/>
  <c r="E31" i="6" s="1"/>
  <c r="B10" i="1"/>
  <c r="E51" i="2"/>
  <c r="B9" i="1"/>
  <c r="D45" i="2"/>
  <c r="D47" i="2"/>
  <c r="E34" i="6" l="1"/>
  <c r="B12" i="1"/>
  <c r="D52" i="2"/>
  <c r="B1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ANARCY</author>
    <author>GUIBERT Corinne</author>
  </authors>
  <commentList>
    <comment ref="J5" authorId="0" shapeId="0" xr:uid="{00000000-0006-0000-0100-000001000000}">
      <text>
        <r>
          <rPr>
            <b/>
            <sz val="9"/>
            <color indexed="81"/>
            <rFont val="Tahoma"/>
            <family val="2"/>
          </rPr>
          <t>ANARCY:</t>
        </r>
        <r>
          <rPr>
            <sz val="9"/>
            <color indexed="81"/>
            <rFont val="Tahoma"/>
            <family val="2"/>
          </rPr>
          <t xml:space="preserve">
choisir de preference 18 jours</t>
        </r>
      </text>
    </comment>
    <comment ref="J8" authorId="0" shapeId="0" xr:uid="{00000000-0006-0000-0100-000002000000}">
      <text>
        <r>
          <rPr>
            <b/>
            <sz val="9"/>
            <color indexed="81"/>
            <rFont val="Tahoma"/>
            <family val="2"/>
          </rPr>
          <t>ANARCY:</t>
        </r>
        <r>
          <rPr>
            <sz val="9"/>
            <color indexed="81"/>
            <rFont val="Tahoma"/>
            <family val="2"/>
          </rPr>
          <t xml:space="preserve">
Si CDD, mettre a 0%</t>
        </r>
      </text>
    </comment>
    <comment ref="J9" authorId="1" shapeId="0" xr:uid="{00000000-0006-0000-0100-000003000000}">
      <text>
        <r>
          <rPr>
            <b/>
            <sz val="9"/>
            <color indexed="81"/>
            <rFont val="Tahoma"/>
            <family val="2"/>
          </rPr>
          <t>GUIBERT Corinne:</t>
        </r>
        <r>
          <rPr>
            <sz val="9"/>
            <color indexed="81"/>
            <rFont val="Tahoma"/>
            <family val="2"/>
          </rPr>
          <t xml:space="preserve">
si CDD mettre 0%
si CDI mettre le taux negocié
</t>
        </r>
      </text>
    </comment>
    <comment ref="J10" authorId="1" shapeId="0" xr:uid="{00000000-0006-0000-0100-000004000000}">
      <text>
        <r>
          <rPr>
            <b/>
            <sz val="9"/>
            <color indexed="81"/>
            <rFont val="Tahoma"/>
            <family val="2"/>
          </rPr>
          <t>GUIBERT Corinne:</t>
        </r>
        <r>
          <rPr>
            <sz val="9"/>
            <color indexed="81"/>
            <rFont val="Tahoma"/>
            <family val="2"/>
          </rPr>
          <t xml:space="preserve">
si CDD mettre 10%
si CDI mettre 0%
</t>
        </r>
      </text>
    </comment>
  </commentList>
</comments>
</file>

<file path=xl/sharedStrings.xml><?xml version="1.0" encoding="utf-8"?>
<sst xmlns="http://schemas.openxmlformats.org/spreadsheetml/2006/main" count="455" uniqueCount="220">
  <si>
    <t>HOW TO USE THE PORTALIA'S MC2 ?</t>
  </si>
  <si>
    <r>
      <t>You can complete only the field in</t>
    </r>
    <r>
      <rPr>
        <b/>
        <sz val="11"/>
        <color theme="9"/>
        <rFont val="Calibri"/>
        <family val="2"/>
        <scheme val="minor"/>
      </rPr>
      <t xml:space="preserve"> green</t>
    </r>
  </si>
  <si>
    <t>1. Complete the ''Calcul Avec prov'' tab</t>
  </si>
  <si>
    <t>2. The purpose is to have the cell J4, identic to B12</t>
  </si>
  <si>
    <t>3. For that, you must click on Button 1</t>
  </si>
  <si>
    <t>(carefull, it must exist a little differences between the 2 amount. Remember, it is a simulation)</t>
  </si>
  <si>
    <t>4. Just click on Button 1 on ''Calcul Sans prov'' and be sure that all the information match with ''Calcul Avec prov''</t>
  </si>
  <si>
    <t>5. Finally, use the ''Template'' tab or the ''Buletin de Salaire' one to give the simulation to the candidate</t>
  </si>
  <si>
    <t>6. Do not forget to tell to the candidate that it is just a simulation</t>
  </si>
  <si>
    <t xml:space="preserve">For any information, do not hesitate to contact PORTALIA_HR@PORTALIA.FR </t>
  </si>
  <si>
    <t xml:space="preserve"> </t>
  </si>
  <si>
    <t>BRUT</t>
  </si>
  <si>
    <t>annuel</t>
  </si>
  <si>
    <t>Taux journalier</t>
  </si>
  <si>
    <t>mensuel</t>
  </si>
  <si>
    <t>Nombre de jour</t>
  </si>
  <si>
    <t>Charges Salariales</t>
  </si>
  <si>
    <t>C.A consultant</t>
  </si>
  <si>
    <t>Charges Patronales</t>
  </si>
  <si>
    <t>Frais de gestion</t>
  </si>
  <si>
    <t>montant</t>
  </si>
  <si>
    <t>Prime de fin de contrat</t>
  </si>
  <si>
    <t>NET</t>
  </si>
  <si>
    <t>Provisions CDI</t>
  </si>
  <si>
    <t>Cout Total</t>
  </si>
  <si>
    <t>Provisions CDD</t>
  </si>
  <si>
    <t>Frais de gestion fixe</t>
  </si>
  <si>
    <t>journalier</t>
  </si>
  <si>
    <t>Frais de fonctionnement</t>
  </si>
  <si>
    <t>Ticket restaurant - 50% pat</t>
  </si>
  <si>
    <t>Masse salariale disponible</t>
  </si>
  <si>
    <t>Cout employeur</t>
  </si>
  <si>
    <t>Mutuelle</t>
  </si>
  <si>
    <t>Oui</t>
  </si>
  <si>
    <t>Taux d'impot</t>
  </si>
  <si>
    <t>Ticket - Restaurant</t>
  </si>
  <si>
    <t>Avance sur salaire</t>
  </si>
  <si>
    <t>Nom de la commune &amp; zone transport</t>
  </si>
  <si>
    <t>Code commune - INSEE</t>
  </si>
  <si>
    <t>% - taux de transport après abattement</t>
  </si>
  <si>
    <t xml:space="preserve">Pour connaitre le code commune rattaché au code postal du lieu de travail, le lien URSSAF : </t>
  </si>
  <si>
    <t>https://www.urssaf.fr/portail/home/taux-et-baremes/versement-mobilite.html</t>
  </si>
  <si>
    <t>Mensuel</t>
  </si>
  <si>
    <t>Nombre de jours travaillés</t>
  </si>
  <si>
    <t>Facturation client (HT)</t>
  </si>
  <si>
    <t>[en pourcentage de la facturation]</t>
  </si>
  <si>
    <t>Frais complémentaires (pack medical, CVAE, RC et GF)</t>
  </si>
  <si>
    <t>Tickets restaurant</t>
  </si>
  <si>
    <t>Total des provisions</t>
  </si>
  <si>
    <t xml:space="preserve"> [en pourcentage]</t>
  </si>
  <si>
    <t>[charges patronales entre 40 et 45% - hors provisions]</t>
  </si>
  <si>
    <t>Salaire net avant impot (sur Bulletin de Salaire)</t>
  </si>
  <si>
    <t>[charges salariales comprises entre 20 et 24%]</t>
  </si>
  <si>
    <t>Frais de fonctionnement + TR (Payés hors Bulletin de Salaire)</t>
  </si>
  <si>
    <t>Salaire net + Frais + Tickets Restaurant</t>
  </si>
  <si>
    <t>Provisions net reversées en fin de contrat / en intercontrat</t>
  </si>
  <si>
    <t>Taux de reversion</t>
  </si>
  <si>
    <t>Récapitulatif de paie détaillé</t>
  </si>
  <si>
    <t>SMIC Horaire</t>
  </si>
  <si>
    <t>SALARIE PORTE</t>
  </si>
  <si>
    <t>Code</t>
  </si>
  <si>
    <t>Libellé</t>
  </si>
  <si>
    <t>Jours payés</t>
  </si>
  <si>
    <t>Salaire journalier</t>
  </si>
  <si>
    <t>Salaire mensuel</t>
  </si>
  <si>
    <t>Salaire Brut calculé</t>
  </si>
  <si>
    <t/>
  </si>
  <si>
    <t>Salaire de base minimum</t>
  </si>
  <si>
    <t xml:space="preserve">Salaire complémentaire </t>
  </si>
  <si>
    <t xml:space="preserve">  Tranche A</t>
  </si>
  <si>
    <t>Ind. Apporteur d'affaires (5%)</t>
  </si>
  <si>
    <t xml:space="preserve">  Tranche B</t>
  </si>
  <si>
    <t>Ind. De congés payés</t>
  </si>
  <si>
    <t>Total salaire Brut</t>
  </si>
  <si>
    <t>BASE S</t>
  </si>
  <si>
    <t>Tx SALARIAL</t>
  </si>
  <si>
    <t>Charges SALARIALES</t>
  </si>
  <si>
    <t>Tx PATRONAL</t>
  </si>
  <si>
    <t>Charges PATRONALES</t>
  </si>
  <si>
    <t>SS001</t>
  </si>
  <si>
    <t>Maladie - maternité - invalidité - décès</t>
  </si>
  <si>
    <t>ok</t>
  </si>
  <si>
    <t>SS002</t>
  </si>
  <si>
    <t>Contribution Solidarité Autonomie</t>
  </si>
  <si>
    <t>SS003</t>
  </si>
  <si>
    <t>Vieillesse déplafonnée</t>
  </si>
  <si>
    <t>SS004</t>
  </si>
  <si>
    <t>Vieillesse plafonnée</t>
  </si>
  <si>
    <t>SS005</t>
  </si>
  <si>
    <t>Allocations familiales</t>
  </si>
  <si>
    <t>SS006</t>
  </si>
  <si>
    <t>Accident du travail</t>
  </si>
  <si>
    <t>SS007</t>
  </si>
  <si>
    <t xml:space="preserve">FNAL + 20 </t>
  </si>
  <si>
    <t xml:space="preserve"> ok </t>
  </si>
  <si>
    <t>CH001</t>
  </si>
  <si>
    <t>Assurance chômage TRA + TRB</t>
  </si>
  <si>
    <t>CH002</t>
  </si>
  <si>
    <t>AGS</t>
  </si>
  <si>
    <t>AR001</t>
  </si>
  <si>
    <t>RETRAITE T1</t>
  </si>
  <si>
    <t>part patronale</t>
  </si>
  <si>
    <t>part salariale</t>
  </si>
  <si>
    <t>AG001</t>
  </si>
  <si>
    <t>RETRAITE T2</t>
  </si>
  <si>
    <t>tx patronal</t>
  </si>
  <si>
    <t>Montant pat</t>
  </si>
  <si>
    <t>tx sal</t>
  </si>
  <si>
    <t>Montant sal</t>
  </si>
  <si>
    <t>coût total</t>
  </si>
  <si>
    <t>AG005</t>
  </si>
  <si>
    <t>Contribution Exceptionnelle et Temporaire</t>
  </si>
  <si>
    <t>Non</t>
  </si>
  <si>
    <t>AR004</t>
  </si>
  <si>
    <t>CEG T1</t>
  </si>
  <si>
    <t>Consultant &amp; Enfant</t>
  </si>
  <si>
    <t>CEG T2</t>
  </si>
  <si>
    <t>consultant &amp; Enfant + option</t>
  </si>
  <si>
    <t>AG004</t>
  </si>
  <si>
    <t>APEC</t>
  </si>
  <si>
    <t xml:space="preserve">Famille </t>
  </si>
  <si>
    <t>PR010</t>
  </si>
  <si>
    <t>Prévoyance cadre Tr1</t>
  </si>
  <si>
    <t>Famille + 1 option</t>
  </si>
  <si>
    <t>PR250</t>
  </si>
  <si>
    <t>Prévoyance cadre Tr2</t>
  </si>
  <si>
    <t>Famille + 2 options</t>
  </si>
  <si>
    <t>PS278</t>
  </si>
  <si>
    <t>Frais de sante du regime general</t>
  </si>
  <si>
    <t>SS050</t>
  </si>
  <si>
    <t>Contribution au dialogie social</t>
  </si>
  <si>
    <t>part sal</t>
  </si>
  <si>
    <t>TC004</t>
  </si>
  <si>
    <t xml:space="preserve">Taxe d'apprentissage </t>
  </si>
  <si>
    <t>TC120</t>
  </si>
  <si>
    <t>Developpement de paritarisme</t>
  </si>
  <si>
    <t>TC123</t>
  </si>
  <si>
    <t>Développement du paritarisme</t>
  </si>
  <si>
    <t>TC001</t>
  </si>
  <si>
    <t>Participation à la formation professionnelle</t>
  </si>
  <si>
    <t>Effort construction</t>
  </si>
  <si>
    <t>Versement mobilité (taxe transport)</t>
  </si>
  <si>
    <t>SS043</t>
  </si>
  <si>
    <t>Allocations familiales (complément)</t>
  </si>
  <si>
    <t>SS022</t>
  </si>
  <si>
    <t>CSG non déductible et CRDS</t>
  </si>
  <si>
    <t>SS021</t>
  </si>
  <si>
    <t>CSG déductible</t>
  </si>
  <si>
    <t>Total des retenues déductibles</t>
  </si>
  <si>
    <t>Total des retenues non déductibles</t>
  </si>
  <si>
    <t>Total des retenues</t>
  </si>
  <si>
    <t>Salaire net imposable</t>
  </si>
  <si>
    <t>Salaire net</t>
  </si>
  <si>
    <t>Tickets restaurant déduction</t>
  </si>
  <si>
    <t>Net à payer</t>
  </si>
  <si>
    <t>Remboursement Frais de fonctionnement</t>
  </si>
  <si>
    <t>Tickets restaurant remis</t>
  </si>
  <si>
    <t>Coût global hors frais de fonctionnement</t>
  </si>
  <si>
    <t>Net (apres impot)</t>
  </si>
  <si>
    <t>Montant net provisions (réserve)</t>
  </si>
  <si>
    <t>Net (du apres reversement provisions)</t>
  </si>
  <si>
    <t>Net (du apres reversement provisions) + Frais de fonctionnement + Tickets Restaurant</t>
  </si>
  <si>
    <t>Taux de charges Salariale</t>
  </si>
  <si>
    <t>Pierrick Rocher</t>
  </si>
  <si>
    <t>Taux de charges Patronale</t>
  </si>
  <si>
    <r>
      <rPr>
        <i/>
        <u/>
        <sz val="9"/>
        <color theme="1"/>
        <rFont val="Calibri"/>
        <family val="2"/>
        <scheme val="minor"/>
      </rPr>
      <t>WARNING</t>
    </r>
    <r>
      <rPr>
        <i/>
        <sz val="9"/>
        <color theme="1"/>
        <rFont val="Calibri"/>
        <family val="2"/>
        <scheme val="minor"/>
      </rPr>
      <t xml:space="preserve"> : Cet outil de simulation est confidentiel et n'est fourni qu'à titre indicatif. 
Les simulations produites ne constituent en aucune façon un engagement contractuel.</t>
    </r>
  </si>
  <si>
    <t>TRANCHE B GMP</t>
  </si>
  <si>
    <t>SI CADRE EN DESSOUS DE 3311</t>
  </si>
  <si>
    <t>COTISE AUTOMATIQUEMENT A 353,82</t>
  </si>
  <si>
    <t xml:space="preserve">FNAL +20 </t>
  </si>
  <si>
    <t>PR001</t>
  </si>
  <si>
    <t>Net imposable</t>
  </si>
  <si>
    <t>Net + Frais de fonctionnement</t>
  </si>
  <si>
    <t>Coût global</t>
  </si>
  <si>
    <t>Geoffroy Gardey de Soos</t>
  </si>
  <si>
    <t>Bastien Barou</t>
  </si>
  <si>
    <t xml:space="preserve">  Plafond SS mensuel 2017</t>
  </si>
  <si>
    <t xml:space="preserve">  Plafond SS journalier 2017</t>
  </si>
  <si>
    <t xml:space="preserve">  Plafond SS journalier 2025</t>
  </si>
  <si>
    <t xml:space="preserve">  Plafond SS mensuel 2025</t>
  </si>
  <si>
    <t>new, IDF sans abattement depuis 2025 &amp; SYTRAL avec abattement de 25%</t>
  </si>
  <si>
    <t>PLAFOND SS URSSAF 2,4242 SMIC</t>
  </si>
  <si>
    <t>forfait social sur contribution prévoyance</t>
  </si>
  <si>
    <t>Date de début :</t>
  </si>
  <si>
    <t>Type de contrat :</t>
  </si>
  <si>
    <t>CDI CADRE</t>
  </si>
  <si>
    <t>Simulation de salaire chez Portalia</t>
  </si>
  <si>
    <t>Eléments du salaire</t>
  </si>
  <si>
    <t>[payée sur les charges salariales]</t>
  </si>
  <si>
    <t>[encadrés par la politique interne de frais Portalia]</t>
  </si>
  <si>
    <t>Salaire brut</t>
  </si>
  <si>
    <t>Cet outil de simulation est confidentiel et n'est fourni qu'à titre indicatif. 
Les simulations produites ne constituent en aucune façon un engagement contractuel.</t>
  </si>
  <si>
    <t>Taux Journalier</t>
  </si>
  <si>
    <t>le taux négocié entre le client et le CS (hors taxe par jour) pour la prestation.</t>
  </si>
  <si>
    <t>Nombre de jours travailles</t>
  </si>
  <si>
    <t xml:space="preserve">les 18 jours prennent en compte les jours fériés, les jours de congés sur 1 année (25), la limite des 218 jours par an (en forfait jour). </t>
  </si>
  <si>
    <t>Facturation client</t>
  </si>
  <si>
    <t>le chiffre d’affaires du CS en fonction du nombre de jours travailles x le taux journalier</t>
  </si>
  <si>
    <t>le tarif Portalia pour la mise en place des services (contrat de travail, déclarations, gestion de la paie, outils et accompagnement, support HR &amp; Juridique, facturation et recouvrement). Il est négocié en fonction du Taux Journalier/rémunération du CS</t>
  </si>
  <si>
    <t xml:space="preserve">paiement de l’intégralité du salaire sans l’attente de la facturation client </t>
  </si>
  <si>
    <t>Frais complementaires</t>
  </si>
  <si>
    <t>frais fixes qu’une entreprise de portage salarial paie pour l’exercice de l’activité du consultant. C’est le même montant pour tout le monde. [Obligation d’inscription au cabinet de santé lors de la contractualisation et la gestion des accidents de travail et maladies prof ; l’impôt sur la valeur ajoutée à chaque personne recrutée ; la Responsabilité Civile et Pro, et la Garantie Financière]</t>
  </si>
  <si>
    <t>Frais professionnels non refacturables liés à l’activité du CS et qui impactent le chiffre d’affaires pour permettre une optimisation fiscale, bénéficier d’une exonération des charges sociales et fiscales sur le montant de frais. Ces frais ne sont pas imposables. Montant maximum de 30% du salaire brut mensuel.</t>
  </si>
  <si>
    <t>Tickets Restaurant</t>
  </si>
  <si>
    <t xml:space="preserve">La partie prise en charge par l’employeur (50%) est considérée comme des frais pour permettre une optimisation fiscale et exonération de charges. L’autre partie est déduite directement du Net. </t>
  </si>
  <si>
    <t>Provisions</t>
  </si>
  <si>
    <t>• Provision RC 2%) : % min. Réserve qui permet de payer une indemnité de RC.</t>
  </si>
  <si>
    <t>• Provision Intermission (10%) : % min. Reserve en cas de période sans mission.</t>
  </si>
  <si>
    <t>• Provision CP (10%) : % fixé par la convention collective. Réserve en cas de congés.</t>
  </si>
  <si>
    <t>[Facturation client – Frais de gestion – Frais complémentaires – TR – Provision] : Montant qu’il reste pour calculer le salaire (d’abord brut avec le déductions des charges patronales puis net avec la déduction des charges salariales)</t>
  </si>
  <si>
    <t>Salaire brut reel</t>
  </si>
  <si>
    <t>[Charges patronales entre 40 et 45%] : Cela varie en fonction du nombre de jours travaillés et des frais de fonctionnement déclarés] – L’indemnité RC est exonérée de charges sociales &amp; fiscales, en revanche il y a un forfait social à payer à l’Etat de 30%)</t>
  </si>
  <si>
    <t>Salaire net avant impots (sur bulletin de paie)</t>
  </si>
  <si>
    <t>Salaire déduit des charges salariales sans le taux d’imposition. Le salaire est versé entre le 5 et 7 en début de mois</t>
  </si>
  <si>
    <t>Frais de fonctionnement + TR (Payes hors bulletin de salaire)</t>
  </si>
  <si>
    <t>Somme des frais et Tickets restaurant. Les TR sont chargés sur la carte SWILE et les frais sont remboursés entre le 25 et 27.</t>
  </si>
  <si>
    <t>il s’agit d’une estimation du Package Total et qui prend en compte le salaire net, les frais et TR</t>
  </si>
  <si>
    <t>Provisions net reversees en fin de contrat</t>
  </si>
  <si>
    <t>Montant des provisions en net qui seront reverses lors de la sortie des effectifs ou sur demande du consultant durant l'exercice de sa mission</t>
  </si>
  <si>
    <t>Le salaire versé chaque mois et visible sur le bulletin de salaire (en rapport avec cette simulation) – Hors provision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</si>
</sst>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0.0000%"/>
    <numFmt numFmtId="165" formatCode="#,##0.00\ [$€-1];[Red]\-#,##0.00\ [$€-1]"/>
    <numFmt numFmtId="166" formatCode="_([$€-2]\ * #,##0.00_);_([$€-2]\ * \(#,##0.00\);_([$€-2]\ * &quot;-&quot;??_);_(@_)"/>
    <numFmt numFmtId="167" formatCode="_-* #,##0\ [$€-40C]_-;\-* #,##0\ [$€-40C]_-;_-* &quot;-&quot;??\ [$€-40C]_-;_-@_-"/>
    <numFmt numFmtId="168" formatCode="#,##0&quot; jours&quot;"/>
    <numFmt numFmtId="169" formatCode="0.000"/>
    <numFmt numFmtId="170" formatCode="_-[$€-2]\ * #,##0.00_-;\-[$€-2]\ * #,##0.00_-;_-[$€-2]\ * &quot;-&quot;??_-;_-@_-"/>
    <numFmt numFmtId="171" formatCode="0.0%"/>
    <numFmt numFmtId="172" formatCode="0.000000"/>
    <numFmt numFmtId="173" formatCode="0.000%"/>
    <numFmt numFmtId="174" formatCode="#,##0.000\ [$€-1];[Red]\-#,##0.000\ [$€-1]"/>
    <numFmt numFmtId="175" formatCode="00000"/>
    <numFmt numFmtId="176" formatCode="[$-40C]d\ mmmm\ yyyy;@"/>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1"/>
      <color indexed="9"/>
      <name val="Calibri"/>
      <family val="2"/>
    </font>
    <font>
      <sz val="11"/>
      <color indexed="8"/>
      <name val="Calibri"/>
      <family val="2"/>
    </font>
    <font>
      <b/>
      <sz val="11"/>
      <color indexed="8"/>
      <name val="Calibri"/>
      <family val="2"/>
    </font>
    <font>
      <b/>
      <sz val="10"/>
      <color theme="1"/>
      <name val="Segoe UI"/>
      <family val="2"/>
    </font>
    <font>
      <sz val="10"/>
      <color theme="1"/>
      <name val="Arial"/>
      <family val="2"/>
    </font>
    <font>
      <sz val="11"/>
      <color theme="0"/>
      <name val="Calibri"/>
      <family val="2"/>
      <scheme val="minor"/>
    </font>
    <font>
      <i/>
      <sz val="9"/>
      <color theme="1"/>
      <name val="Calibri"/>
      <family val="2"/>
      <scheme val="minor"/>
    </font>
    <font>
      <sz val="9"/>
      <color indexed="81"/>
      <name val="Tahoma"/>
      <family val="2"/>
    </font>
    <font>
      <b/>
      <sz val="9"/>
      <color indexed="81"/>
      <name val="Tahoma"/>
      <family val="2"/>
    </font>
    <font>
      <b/>
      <sz val="11"/>
      <color theme="0"/>
      <name val="Calibri"/>
      <family val="2"/>
      <scheme val="minor"/>
    </font>
    <font>
      <b/>
      <sz val="14"/>
      <color rgb="FF1B5FAB"/>
      <name val="Segoe UI"/>
      <family val="2"/>
    </font>
    <font>
      <b/>
      <sz val="12"/>
      <color rgb="FF00CC99"/>
      <name val="Segoe UI"/>
      <family val="2"/>
    </font>
    <font>
      <i/>
      <sz val="11"/>
      <color theme="1"/>
      <name val="Calibri"/>
      <family val="2"/>
      <scheme val="minor"/>
    </font>
    <font>
      <i/>
      <u/>
      <sz val="9"/>
      <color theme="1"/>
      <name val="Calibri"/>
      <family val="2"/>
      <scheme val="minor"/>
    </font>
    <font>
      <b/>
      <sz val="11"/>
      <color theme="9"/>
      <name val="Calibri"/>
      <family val="2"/>
      <scheme val="minor"/>
    </font>
    <font>
      <b/>
      <sz val="24"/>
      <color theme="1"/>
      <name val="Calibri"/>
      <family val="2"/>
      <scheme val="minor"/>
    </font>
    <font>
      <i/>
      <sz val="9"/>
      <color rgb="FFFF0000"/>
      <name val="Calibri"/>
      <family val="2"/>
      <scheme val="minor"/>
    </font>
    <font>
      <sz val="9"/>
      <color indexed="8"/>
      <name val="Calibri"/>
      <family val="2"/>
    </font>
    <font>
      <b/>
      <sz val="9"/>
      <color indexed="8"/>
      <name val="Calibri"/>
      <family val="2"/>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color theme="1"/>
      <name val="Calibri"/>
      <family val="2"/>
      <scheme val="minor"/>
    </font>
    <font>
      <b/>
      <i/>
      <sz val="9"/>
      <color theme="1"/>
      <name val="Calibri"/>
      <family val="2"/>
      <scheme val="minor"/>
    </font>
    <font>
      <b/>
      <sz val="10"/>
      <name val="Segoe UI"/>
      <family val="2"/>
    </font>
    <font>
      <b/>
      <sz val="10"/>
      <name val="Calibri"/>
      <family val="2"/>
      <scheme val="minor"/>
    </font>
    <font>
      <b/>
      <sz val="11"/>
      <color rgb="FFFF0000"/>
      <name val="Calibri"/>
      <family val="2"/>
      <scheme val="minor"/>
    </font>
    <font>
      <b/>
      <sz val="11"/>
      <name val="Calibri"/>
      <family val="2"/>
      <scheme val="minor"/>
    </font>
    <font>
      <sz val="11"/>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0000"/>
      <name val="Calibri"/>
      <family val="2"/>
    </font>
    <font>
      <sz val="8"/>
      <name val="Calibri"/>
      <family val="2"/>
      <scheme val="minor"/>
    </font>
    <font>
      <sz val="11"/>
      <color rgb="FF000000"/>
      <name val="Calibri"/>
      <family val="2"/>
      <scheme val="minor"/>
    </font>
    <font>
      <b/>
      <u/>
      <sz val="11"/>
      <color rgb="FF000000"/>
      <name val="Calibri"/>
      <family val="2"/>
      <scheme val="minor"/>
    </font>
    <font>
      <i/>
      <sz val="9"/>
      <color rgb="FF000000"/>
      <name val="Calibri"/>
      <family val="2"/>
      <scheme val="minor"/>
    </font>
    <font>
      <b/>
      <sz val="11"/>
      <color rgb="FFFFFFFF"/>
      <name val="Calibri"/>
      <family val="2"/>
      <scheme val="minor"/>
    </font>
    <font>
      <b/>
      <sz val="11"/>
      <color rgb="FF000000"/>
      <name val="Calibri"/>
      <family val="2"/>
      <scheme val="minor"/>
    </font>
  </fonts>
  <fills count="51">
    <fill>
      <patternFill patternType="none"/>
    </fill>
    <fill>
      <patternFill patternType="gray125"/>
    </fill>
    <fill>
      <patternFill patternType="solid">
        <fgColor rgb="FF808080"/>
        <bgColor indexed="64"/>
      </patternFill>
    </fill>
    <fill>
      <patternFill patternType="solid">
        <fgColor rgb="FFF5F5DC"/>
        <bgColor indexed="64"/>
      </patternFill>
    </fill>
    <fill>
      <patternFill patternType="solid">
        <fgColor rgb="FFFFEBCD"/>
        <bgColor indexed="64"/>
      </patternFill>
    </fill>
    <fill>
      <patternFill patternType="solid">
        <fgColor rgb="FFFFFF00"/>
        <bgColor indexed="64"/>
      </patternFill>
    </fill>
    <fill>
      <patternFill patternType="solid">
        <fgColor rgb="FFE8E8E8"/>
        <bgColor indexed="64"/>
      </patternFill>
    </fill>
    <fill>
      <patternFill patternType="solid">
        <fgColor rgb="FFF5F5F5"/>
        <bgColor indexed="64"/>
      </patternFill>
    </fill>
    <fill>
      <patternFill patternType="solid">
        <fgColor theme="5" tint="0.59999389629810485"/>
        <bgColor indexed="64"/>
      </patternFill>
    </fill>
    <fill>
      <patternFill patternType="solid">
        <fgColor rgb="FFFFFACD"/>
        <bgColor indexed="64"/>
      </patternFill>
    </fill>
    <fill>
      <patternFill patternType="solid">
        <fgColor rgb="FFD2B48C"/>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rgb="FF000000"/>
      </patternFill>
    </fill>
    <fill>
      <patternFill patternType="solid">
        <fgColor rgb="FF80C9FF"/>
        <bgColor rgb="FF000000"/>
      </patternFill>
    </fill>
    <fill>
      <patternFill patternType="solid">
        <fgColor rgb="FF80C9FF"/>
        <bgColor indexed="64"/>
      </patternFill>
    </fill>
    <fill>
      <patternFill patternType="solid">
        <fgColor rgb="FF00528E"/>
        <bgColor rgb="FF000000"/>
      </patternFill>
    </fill>
    <fill>
      <patternFill patternType="solid">
        <fgColor rgb="FF00528E"/>
        <bgColor indexed="64"/>
      </patternFill>
    </fill>
  </fills>
  <borders count="67">
    <border>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thin">
        <color rgb="FF1B5FAB"/>
      </left>
      <right/>
      <top style="thin">
        <color rgb="FF1B5FAB"/>
      </top>
      <bottom style="thin">
        <color rgb="FF1B5FAB"/>
      </bottom>
      <diagonal/>
    </border>
    <border>
      <left/>
      <right/>
      <top style="thin">
        <color rgb="FF1B5FAB"/>
      </top>
      <bottom style="thin">
        <color rgb="FF1B5FAB"/>
      </bottom>
      <diagonal/>
    </border>
    <border>
      <left/>
      <right style="thin">
        <color rgb="FF1B5FAB"/>
      </right>
      <top style="thin">
        <color rgb="FF1B5FAB"/>
      </top>
      <bottom style="thin">
        <color rgb="FF1B5FAB"/>
      </bottom>
      <diagonal/>
    </border>
    <border>
      <left style="thin">
        <color rgb="FF1B5FAB"/>
      </left>
      <right/>
      <top/>
      <bottom/>
      <diagonal/>
    </border>
    <border>
      <left style="thin">
        <color rgb="FF1B5FAB"/>
      </left>
      <right/>
      <top style="thin">
        <color rgb="FF1B5FAB"/>
      </top>
      <bottom/>
      <diagonal/>
    </border>
    <border>
      <left/>
      <right style="thin">
        <color rgb="FF1B5FAB"/>
      </right>
      <top style="thin">
        <color rgb="FF1B5FAB"/>
      </top>
      <bottom/>
      <diagonal/>
    </border>
    <border>
      <left/>
      <right style="thin">
        <color rgb="FF1B5FAB"/>
      </right>
      <top/>
      <bottom/>
      <diagonal/>
    </border>
    <border>
      <left/>
      <right/>
      <top/>
      <bottom style="thin">
        <color rgb="FF1B5FAB"/>
      </bottom>
      <diagonal/>
    </border>
    <border>
      <left/>
      <right style="thin">
        <color rgb="FF1B5FAB"/>
      </right>
      <top/>
      <bottom style="thin">
        <color rgb="FF1B5FAB"/>
      </bottom>
      <diagonal/>
    </border>
    <border>
      <left/>
      <right/>
      <top style="thin">
        <color rgb="FF1B5FAB"/>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249977111117893"/>
      </bottom>
      <diagonal/>
    </border>
    <border>
      <left/>
      <right style="thin">
        <color theme="4" tint="-0.249977111117893"/>
      </right>
      <top/>
      <bottom/>
      <diagonal/>
    </border>
    <border>
      <left style="thin">
        <color theme="4" tint="-0.249977111117893"/>
      </left>
      <right/>
      <top/>
      <bottom style="thin">
        <color theme="4" tint="-0.249977111117893"/>
      </bottom>
      <diagonal/>
    </border>
    <border>
      <left style="thin">
        <color auto="1"/>
      </left>
      <right style="thin">
        <color auto="1"/>
      </right>
      <top style="thin">
        <color auto="1"/>
      </top>
      <bottom/>
      <diagonal/>
    </border>
    <border>
      <left/>
      <right/>
      <top/>
      <bottom style="thin">
        <color auto="1"/>
      </bottom>
      <diagonal/>
    </border>
    <border>
      <left style="thin">
        <color theme="4" tint="-0.249977111117893"/>
      </left>
      <right/>
      <top/>
      <bottom/>
      <diagonal/>
    </border>
    <border>
      <left style="thin">
        <color rgb="FF1B5FAB"/>
      </left>
      <right/>
      <top/>
      <bottom style="thin">
        <color theme="8"/>
      </bottom>
      <diagonal/>
    </border>
    <border>
      <left/>
      <right style="thin">
        <color theme="8"/>
      </right>
      <top/>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right style="thin">
        <color theme="8"/>
      </right>
      <top/>
      <bottom style="thin">
        <color theme="8"/>
      </bottom>
      <diagonal/>
    </border>
    <border>
      <left style="thin">
        <color theme="4" tint="-0.249977111117893"/>
      </left>
      <right/>
      <top/>
      <bottom style="thin">
        <color theme="8"/>
      </bottom>
      <diagonal/>
    </border>
    <border>
      <left style="thin">
        <color theme="4" tint="-0.249977111117893"/>
      </left>
      <right/>
      <top style="thin">
        <color theme="8"/>
      </top>
      <bottom style="thin">
        <color theme="8"/>
      </bottom>
      <diagonal/>
    </border>
    <border>
      <left/>
      <right style="thin">
        <color theme="4" tint="-0.249977111117893"/>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top/>
      <bottom style="thin">
        <color theme="4"/>
      </bottom>
      <diagonal/>
    </border>
    <border>
      <left style="thin">
        <color rgb="FF1B5FAB"/>
      </left>
      <right/>
      <top style="thin">
        <color theme="4"/>
      </top>
      <bottom style="thin">
        <color theme="4"/>
      </bottom>
      <diagonal/>
    </border>
    <border>
      <left/>
      <right/>
      <top style="thin">
        <color theme="4"/>
      </top>
      <bottom style="thin">
        <color theme="4"/>
      </bottom>
      <diagonal/>
    </border>
    <border>
      <left/>
      <right style="thin">
        <color rgb="FF0070C0"/>
      </right>
      <top style="thin">
        <color theme="4"/>
      </top>
      <bottom style="thin">
        <color theme="4"/>
      </bottom>
      <diagonal/>
    </border>
    <border>
      <left/>
      <right/>
      <top/>
      <bottom style="thin">
        <color rgb="FF00528E"/>
      </bottom>
      <diagonal/>
    </border>
    <border>
      <left/>
      <right/>
      <top/>
      <bottom style="medium">
        <color indexed="64"/>
      </bottom>
      <diagonal/>
    </border>
    <border>
      <left/>
      <right style="medium">
        <color theme="4"/>
      </right>
      <top style="medium">
        <color theme="8"/>
      </top>
      <bottom style="medium">
        <color theme="8"/>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5">
    <xf numFmtId="0" fontId="0"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24" fillId="0" borderId="27" applyNumberFormat="0" applyFill="0" applyAlignment="0" applyProtection="0"/>
    <xf numFmtId="0" fontId="25" fillId="0" borderId="28" applyNumberFormat="0" applyFill="0" applyAlignment="0" applyProtection="0"/>
    <xf numFmtId="0" fontId="26" fillId="0" borderId="29" applyNumberFormat="0" applyFill="0" applyAlignment="0" applyProtection="0"/>
    <xf numFmtId="0" fontId="26" fillId="0" borderId="0" applyNumberFormat="0" applyFill="0" applyBorder="0" applyAlignment="0" applyProtection="0"/>
    <xf numFmtId="0" fontId="27" fillId="15" borderId="0" applyNumberFormat="0" applyBorder="0" applyAlignment="0" applyProtection="0"/>
    <xf numFmtId="0" fontId="28" fillId="16" borderId="0" applyNumberFormat="0" applyBorder="0" applyAlignment="0" applyProtection="0"/>
    <xf numFmtId="0" fontId="29" fillId="17" borderId="0" applyNumberFormat="0" applyBorder="0" applyAlignment="0" applyProtection="0"/>
    <xf numFmtId="0" fontId="30" fillId="18" borderId="30" applyNumberFormat="0" applyAlignment="0" applyProtection="0"/>
    <xf numFmtId="0" fontId="31" fillId="19" borderId="31" applyNumberFormat="0" applyAlignment="0" applyProtection="0"/>
    <xf numFmtId="0" fontId="32" fillId="19" borderId="30" applyNumberFormat="0" applyAlignment="0" applyProtection="0"/>
    <xf numFmtId="0" fontId="33" fillId="0" borderId="32" applyNumberFormat="0" applyFill="0" applyAlignment="0" applyProtection="0"/>
    <xf numFmtId="0" fontId="12" fillId="20" borderId="33" applyNumberFormat="0" applyAlignment="0" applyProtection="0"/>
    <xf numFmtId="0" fontId="34" fillId="0" borderId="0" applyNumberFormat="0" applyFill="0" applyBorder="0" applyAlignment="0" applyProtection="0"/>
    <xf numFmtId="0" fontId="1" fillId="21" borderId="34" applyNumberFormat="0" applyFont="0" applyAlignment="0" applyProtection="0"/>
    <xf numFmtId="0" fontId="35" fillId="0" borderId="0" applyNumberFormat="0" applyFill="0" applyBorder="0" applyAlignment="0" applyProtection="0"/>
    <xf numFmtId="0" fontId="2" fillId="0" borderId="35" applyNumberFormat="0" applyFill="0" applyAlignment="0" applyProtection="0"/>
    <xf numFmtId="0" fontId="8"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 fillId="45" borderId="0" applyNumberFormat="0" applyBorder="0" applyAlignment="0" applyProtection="0"/>
    <xf numFmtId="0" fontId="45" fillId="0" borderId="0" applyNumberFormat="0" applyFill="0" applyBorder="0" applyAlignment="0" applyProtection="0"/>
  </cellStyleXfs>
  <cellXfs count="214">
    <xf numFmtId="0" fontId="0" fillId="0" borderId="0" xfId="0"/>
    <xf numFmtId="0" fontId="2" fillId="0" borderId="0" xfId="0" applyFont="1"/>
    <xf numFmtId="0" fontId="3" fillId="2" borderId="4" xfId="0" applyFont="1" applyFill="1" applyBorder="1" applyAlignment="1">
      <alignment horizontal="center" vertical="center" wrapText="1"/>
    </xf>
    <xf numFmtId="0" fontId="4" fillId="3" borderId="0" xfId="0" applyFont="1" applyFill="1"/>
    <xf numFmtId="4" fontId="4" fillId="3" borderId="0" xfId="0" applyNumberFormat="1" applyFont="1" applyFill="1"/>
    <xf numFmtId="0" fontId="5" fillId="3" borderId="0" xfId="0" applyFont="1" applyFill="1"/>
    <xf numFmtId="0" fontId="4" fillId="4" borderId="0" xfId="0" applyFont="1" applyFill="1"/>
    <xf numFmtId="4" fontId="4" fillId="4" borderId="0" xfId="0" applyNumberFormat="1" applyFont="1" applyFill="1"/>
    <xf numFmtId="0" fontId="5" fillId="4" borderId="0" xfId="0" applyFont="1" applyFill="1"/>
    <xf numFmtId="0" fontId="0" fillId="5" borderId="0" xfId="0" applyFill="1"/>
    <xf numFmtId="4" fontId="0" fillId="5" borderId="0" xfId="0" applyNumberFormat="1" applyFill="1"/>
    <xf numFmtId="164" fontId="0" fillId="0" borderId="0" xfId="0" applyNumberFormat="1"/>
    <xf numFmtId="0" fontId="6" fillId="8" borderId="8" xfId="0" applyFont="1" applyFill="1" applyBorder="1" applyAlignment="1">
      <alignment horizontal="center"/>
    </xf>
    <xf numFmtId="0" fontId="0" fillId="0" borderId="8" xfId="0" applyBorder="1"/>
    <xf numFmtId="165" fontId="0" fillId="0" borderId="8" xfId="0" applyNumberFormat="1" applyBorder="1"/>
    <xf numFmtId="165" fontId="0" fillId="0" borderId="0" xfId="0" applyNumberFormat="1"/>
    <xf numFmtId="4" fontId="0" fillId="0" borderId="0" xfId="0" applyNumberFormat="1"/>
    <xf numFmtId="4" fontId="5" fillId="4" borderId="0" xfId="0" applyNumberFormat="1" applyFont="1" applyFill="1"/>
    <xf numFmtId="10" fontId="4" fillId="4" borderId="0" xfId="1" applyNumberFormat="1" applyFont="1" applyFill="1" applyBorder="1" applyAlignment="1" applyProtection="1"/>
    <xf numFmtId="0" fontId="4" fillId="9" borderId="0" xfId="0" applyFont="1" applyFill="1"/>
    <xf numFmtId="4" fontId="4" fillId="9" borderId="0" xfId="0" applyNumberFormat="1" applyFont="1" applyFill="1"/>
    <xf numFmtId="0" fontId="5" fillId="9" borderId="0" xfId="0" applyFont="1" applyFill="1"/>
    <xf numFmtId="0" fontId="4" fillId="10" borderId="0" xfId="0" applyFont="1" applyFill="1"/>
    <xf numFmtId="4" fontId="4" fillId="10" borderId="0" xfId="0" applyNumberFormat="1" applyFont="1" applyFill="1"/>
    <xf numFmtId="0" fontId="5" fillId="10" borderId="0" xfId="0" applyFont="1" applyFill="1"/>
    <xf numFmtId="166" fontId="0" fillId="0" borderId="0" xfId="0" applyNumberFormat="1"/>
    <xf numFmtId="0" fontId="8" fillId="0" borderId="0" xfId="0" applyFont="1"/>
    <xf numFmtId="0" fontId="0" fillId="0" borderId="13" xfId="0" applyBorder="1"/>
    <xf numFmtId="9" fontId="0" fillId="0" borderId="13" xfId="0" applyNumberFormat="1" applyBorder="1"/>
    <xf numFmtId="2" fontId="0" fillId="0" borderId="13" xfId="0" applyNumberFormat="1" applyBorder="1"/>
    <xf numFmtId="1" fontId="0" fillId="0" borderId="13" xfId="0" applyNumberFormat="1" applyBorder="1"/>
    <xf numFmtId="0" fontId="9" fillId="0" borderId="0" xfId="0" applyFont="1"/>
    <xf numFmtId="166" fontId="0" fillId="0" borderId="13" xfId="0" applyNumberFormat="1" applyBorder="1"/>
    <xf numFmtId="4" fontId="0" fillId="0" borderId="13" xfId="0" applyNumberFormat="1" applyBorder="1"/>
    <xf numFmtId="0" fontId="0" fillId="11" borderId="13" xfId="0" applyFill="1" applyBorder="1"/>
    <xf numFmtId="2" fontId="0" fillId="0" borderId="0" xfId="0" applyNumberFormat="1"/>
    <xf numFmtId="0" fontId="4" fillId="12" borderId="0" xfId="0" applyFont="1" applyFill="1"/>
    <xf numFmtId="4" fontId="4" fillId="12" borderId="0" xfId="0" applyNumberFormat="1" applyFont="1" applyFill="1"/>
    <xf numFmtId="166" fontId="0" fillId="11" borderId="13" xfId="0" applyNumberFormat="1" applyFill="1" applyBorder="1"/>
    <xf numFmtId="9" fontId="0" fillId="11" borderId="13" xfId="1" applyFont="1" applyFill="1" applyBorder="1"/>
    <xf numFmtId="0" fontId="0" fillId="13" borderId="0" xfId="0" applyFill="1" applyAlignment="1">
      <alignment horizontal="center" vertical="center"/>
    </xf>
    <xf numFmtId="0" fontId="2" fillId="13" borderId="18" xfId="0" applyFont="1" applyFill="1" applyBorder="1" applyAlignment="1">
      <alignment horizontal="left" vertical="center"/>
    </xf>
    <xf numFmtId="0" fontId="2" fillId="13" borderId="17" xfId="0" applyFont="1" applyFill="1" applyBorder="1" applyAlignment="1">
      <alignment horizontal="left" vertical="center"/>
    </xf>
    <xf numFmtId="0" fontId="0" fillId="13" borderId="20" xfId="0" applyFill="1" applyBorder="1" applyAlignment="1">
      <alignment horizontal="center" vertical="center"/>
    </xf>
    <xf numFmtId="0" fontId="0" fillId="13" borderId="18" xfId="0" applyFill="1" applyBorder="1" applyAlignment="1">
      <alignment horizontal="left" vertical="center"/>
    </xf>
    <xf numFmtId="9" fontId="0" fillId="13" borderId="0" xfId="0" applyNumberFormat="1" applyFill="1" applyAlignment="1">
      <alignment horizontal="center" vertical="center"/>
    </xf>
    <xf numFmtId="166" fontId="0" fillId="13" borderId="0" xfId="0" applyNumberFormat="1" applyFill="1" applyAlignment="1">
      <alignment horizontal="center" vertical="center"/>
    </xf>
    <xf numFmtId="0" fontId="0" fillId="13" borderId="0" xfId="0" applyFill="1" applyAlignment="1">
      <alignment horizontal="left" vertical="center"/>
    </xf>
    <xf numFmtId="0" fontId="0" fillId="13" borderId="17" xfId="0" applyFill="1" applyBorder="1" applyAlignment="1">
      <alignment horizontal="left" vertical="center"/>
    </xf>
    <xf numFmtId="166" fontId="0" fillId="13" borderId="22" xfId="0" applyNumberFormat="1" applyFill="1" applyBorder="1" applyAlignment="1">
      <alignment horizontal="center" vertical="center"/>
    </xf>
    <xf numFmtId="0" fontId="18" fillId="0" borderId="13" xfId="0" applyFont="1" applyBorder="1"/>
    <xf numFmtId="0" fontId="0" fillId="0" borderId="24" xfId="0" applyBorder="1"/>
    <xf numFmtId="0" fontId="0" fillId="0" borderId="25" xfId="0" applyBorder="1"/>
    <xf numFmtId="0" fontId="0" fillId="0" borderId="24" xfId="0" applyBorder="1" applyAlignment="1">
      <alignment horizontal="center"/>
    </xf>
    <xf numFmtId="0" fontId="19" fillId="0" borderId="0" xfId="0" applyFont="1"/>
    <xf numFmtId="9" fontId="0" fillId="5" borderId="13" xfId="0" applyNumberFormat="1" applyFill="1" applyBorder="1"/>
    <xf numFmtId="2" fontId="17" fillId="0" borderId="0" xfId="0" applyNumberFormat="1" applyFont="1"/>
    <xf numFmtId="0" fontId="4" fillId="5" borderId="0" xfId="0" applyFont="1" applyFill="1"/>
    <xf numFmtId="4" fontId="4" fillId="5" borderId="0" xfId="0" applyNumberFormat="1" applyFont="1" applyFill="1"/>
    <xf numFmtId="0" fontId="4" fillId="12" borderId="0" xfId="0" applyFont="1" applyFill="1" applyAlignment="1">
      <alignment wrapText="1"/>
    </xf>
    <xf numFmtId="2" fontId="5" fillId="4" borderId="0" xfId="0" applyNumberFormat="1" applyFont="1" applyFill="1"/>
    <xf numFmtId="2" fontId="4" fillId="12" borderId="0" xfId="0" applyNumberFormat="1" applyFont="1" applyFill="1"/>
    <xf numFmtId="169" fontId="4" fillId="10" borderId="0" xfId="0" applyNumberFormat="1" applyFont="1" applyFill="1"/>
    <xf numFmtId="0" fontId="20" fillId="6" borderId="0" xfId="0" applyFont="1" applyFill="1"/>
    <xf numFmtId="4" fontId="20" fillId="7" borderId="0" xfId="0" applyNumberFormat="1" applyFont="1" applyFill="1"/>
    <xf numFmtId="164" fontId="20" fillId="7" borderId="0" xfId="1" applyNumberFormat="1" applyFont="1" applyFill="1" applyBorder="1" applyAlignment="1" applyProtection="1"/>
    <xf numFmtId="0" fontId="5" fillId="11" borderId="0" xfId="0" applyFont="1" applyFill="1"/>
    <xf numFmtId="2" fontId="5" fillId="11" borderId="0" xfId="0" applyNumberFormat="1" applyFont="1" applyFill="1"/>
    <xf numFmtId="4" fontId="5" fillId="11" borderId="0" xfId="0" applyNumberFormat="1" applyFont="1" applyFill="1"/>
    <xf numFmtId="0" fontId="20" fillId="6" borderId="6" xfId="0" applyFont="1" applyFill="1" applyBorder="1"/>
    <xf numFmtId="0" fontId="21" fillId="6" borderId="6" xfId="0" applyFont="1" applyFill="1" applyBorder="1" applyAlignment="1">
      <alignment horizontal="center" wrapText="1"/>
    </xf>
    <xf numFmtId="0" fontId="4" fillId="4" borderId="6" xfId="0" applyFont="1" applyFill="1" applyBorder="1"/>
    <xf numFmtId="4" fontId="4" fillId="4" borderId="6" xfId="0" applyNumberFormat="1" applyFont="1" applyFill="1" applyBorder="1"/>
    <xf numFmtId="4" fontId="5" fillId="4" borderId="6" xfId="0" applyNumberFormat="1" applyFont="1" applyFill="1" applyBorder="1"/>
    <xf numFmtId="168" fontId="4" fillId="4" borderId="6" xfId="0" applyNumberFormat="1" applyFont="1" applyFill="1" applyBorder="1"/>
    <xf numFmtId="168" fontId="5" fillId="11" borderId="0" xfId="0" applyNumberFormat="1" applyFont="1" applyFill="1"/>
    <xf numFmtId="168" fontId="4" fillId="10" borderId="0" xfId="0" applyNumberFormat="1" applyFont="1" applyFill="1"/>
    <xf numFmtId="168" fontId="4" fillId="9" borderId="0" xfId="0" applyNumberFormat="1" applyFont="1" applyFill="1"/>
    <xf numFmtId="168" fontId="4" fillId="5" borderId="0" xfId="0" applyNumberFormat="1" applyFont="1" applyFill="1"/>
    <xf numFmtId="168" fontId="4" fillId="12" borderId="0" xfId="0" applyNumberFormat="1" applyFont="1" applyFill="1"/>
    <xf numFmtId="168" fontId="4" fillId="3" borderId="0" xfId="0" applyNumberFormat="1" applyFont="1" applyFill="1"/>
    <xf numFmtId="168" fontId="5" fillId="4" borderId="0" xfId="0" applyNumberFormat="1" applyFont="1" applyFill="1"/>
    <xf numFmtId="0" fontId="14" fillId="13" borderId="15" xfId="0" applyFont="1" applyFill="1" applyBorder="1" applyAlignment="1">
      <alignment horizontal="right" vertical="center"/>
    </xf>
    <xf numFmtId="170" fontId="0" fillId="13" borderId="0" xfId="0" applyNumberFormat="1" applyFill="1" applyAlignment="1">
      <alignment horizontal="center" vertical="center"/>
    </xf>
    <xf numFmtId="2" fontId="4" fillId="9" borderId="0" xfId="0" applyNumberFormat="1" applyFont="1" applyFill="1"/>
    <xf numFmtId="0" fontId="0" fillId="0" borderId="0" xfId="0" applyAlignment="1">
      <alignment horizontal="center" wrapText="1"/>
    </xf>
    <xf numFmtId="43" fontId="0" fillId="0" borderId="0" xfId="2" applyFont="1"/>
    <xf numFmtId="0" fontId="22" fillId="0" borderId="0" xfId="0" applyFont="1"/>
    <xf numFmtId="0" fontId="36" fillId="0" borderId="0" xfId="0" applyFont="1"/>
    <xf numFmtId="0" fontId="9" fillId="13" borderId="17" xfId="0" applyFont="1" applyFill="1" applyBorder="1" applyAlignment="1">
      <alignment horizontal="left" vertical="center"/>
    </xf>
    <xf numFmtId="0" fontId="0" fillId="13" borderId="37" xfId="0" applyFill="1" applyBorder="1" applyAlignment="1">
      <alignment horizontal="center" vertical="center"/>
    </xf>
    <xf numFmtId="166" fontId="0" fillId="13" borderId="13" xfId="0" applyNumberFormat="1" applyFill="1" applyBorder="1"/>
    <xf numFmtId="2" fontId="0" fillId="11" borderId="13" xfId="0" applyNumberFormat="1" applyFill="1" applyBorder="1"/>
    <xf numFmtId="0" fontId="36" fillId="13" borderId="8" xfId="0" applyFont="1" applyFill="1" applyBorder="1" applyAlignment="1">
      <alignment horizontal="center" vertical="center"/>
    </xf>
    <xf numFmtId="0" fontId="38" fillId="8" borderId="12" xfId="0" applyFont="1" applyFill="1" applyBorder="1" applyAlignment="1">
      <alignment horizontal="center"/>
    </xf>
    <xf numFmtId="0" fontId="38" fillId="8" borderId="11" xfId="0" applyFont="1" applyFill="1" applyBorder="1" applyAlignment="1">
      <alignment horizontal="center"/>
    </xf>
    <xf numFmtId="0" fontId="39" fillId="13" borderId="7" xfId="0" applyFont="1" applyFill="1" applyBorder="1" applyAlignment="1">
      <alignment horizontal="center" vertical="center"/>
    </xf>
    <xf numFmtId="0" fontId="39" fillId="13" borderId="10" xfId="0" applyFont="1" applyFill="1" applyBorder="1" applyAlignment="1">
      <alignment horizontal="center" vertical="center"/>
    </xf>
    <xf numFmtId="169" fontId="0" fillId="0" borderId="0" xfId="0" applyNumberFormat="1"/>
    <xf numFmtId="172" fontId="0" fillId="0" borderId="0" xfId="0" applyNumberFormat="1"/>
    <xf numFmtId="2" fontId="0" fillId="0" borderId="0" xfId="0" applyNumberFormat="1" applyProtection="1">
      <protection locked="0"/>
    </xf>
    <xf numFmtId="170" fontId="0" fillId="0" borderId="0" xfId="0" applyNumberFormat="1"/>
    <xf numFmtId="171" fontId="0" fillId="0" borderId="0" xfId="1" applyNumberFormat="1" applyFont="1"/>
    <xf numFmtId="9" fontId="15" fillId="13" borderId="0" xfId="1" applyFont="1" applyFill="1" applyBorder="1" applyAlignment="1">
      <alignment horizontal="right" vertical="center"/>
    </xf>
    <xf numFmtId="9" fontId="15" fillId="13" borderId="20" xfId="1" applyFont="1" applyFill="1" applyBorder="1" applyAlignment="1">
      <alignment horizontal="right" vertical="center"/>
    </xf>
    <xf numFmtId="9" fontId="0" fillId="11" borderId="13" xfId="1" applyFont="1" applyFill="1" applyBorder="1" applyAlignment="1">
      <alignment horizontal="right"/>
    </xf>
    <xf numFmtId="1" fontId="0" fillId="0" borderId="13" xfId="0" applyNumberFormat="1" applyBorder="1" applyAlignment="1">
      <alignment horizontal="right"/>
    </xf>
    <xf numFmtId="0" fontId="6" fillId="8" borderId="5" xfId="0" applyFont="1" applyFill="1" applyBorder="1" applyAlignment="1">
      <alignment horizontal="center"/>
    </xf>
    <xf numFmtId="0" fontId="38" fillId="8" borderId="0" xfId="0" applyFont="1" applyFill="1" applyAlignment="1">
      <alignment horizontal="center"/>
    </xf>
    <xf numFmtId="0" fontId="39" fillId="13" borderId="0" xfId="0" applyFont="1" applyFill="1" applyAlignment="1">
      <alignment horizontal="center" vertical="center"/>
    </xf>
    <xf numFmtId="173" fontId="0" fillId="0" borderId="8" xfId="1" applyNumberFormat="1" applyFont="1" applyBorder="1"/>
    <xf numFmtId="165" fontId="7" fillId="0" borderId="5" xfId="0" applyNumberFormat="1" applyFont="1" applyBorder="1" applyAlignment="1">
      <alignment horizontal="center" vertical="center"/>
    </xf>
    <xf numFmtId="0" fontId="0" fillId="0" borderId="39" xfId="0" applyBorder="1"/>
    <xf numFmtId="173" fontId="0" fillId="0" borderId="39" xfId="1" applyNumberFormat="1" applyFont="1" applyBorder="1"/>
    <xf numFmtId="165" fontId="0" fillId="0" borderId="39" xfId="0" applyNumberFormat="1" applyBorder="1"/>
    <xf numFmtId="165" fontId="7" fillId="0" borderId="9" xfId="0" applyNumberFormat="1" applyFont="1" applyBorder="1" applyAlignment="1">
      <alignment horizontal="center" vertical="center"/>
    </xf>
    <xf numFmtId="173" fontId="0" fillId="0" borderId="5" xfId="1" applyNumberFormat="1" applyFont="1" applyBorder="1"/>
    <xf numFmtId="2" fontId="36" fillId="11" borderId="13" xfId="0" applyNumberFormat="1" applyFont="1" applyFill="1" applyBorder="1" applyAlignment="1">
      <alignment horizontal="right"/>
    </xf>
    <xf numFmtId="2" fontId="36" fillId="0" borderId="13" xfId="0" applyNumberFormat="1" applyFont="1" applyBorder="1" applyAlignment="1">
      <alignment horizontal="right"/>
    </xf>
    <xf numFmtId="174" fontId="0" fillId="0" borderId="8" xfId="0" applyNumberFormat="1" applyBorder="1"/>
    <xf numFmtId="174" fontId="0" fillId="0" borderId="39" xfId="0" applyNumberFormat="1" applyBorder="1"/>
    <xf numFmtId="0" fontId="2" fillId="13" borderId="0" xfId="0" applyFont="1" applyFill="1" applyAlignment="1">
      <alignment horizontal="center" vertical="center"/>
    </xf>
    <xf numFmtId="171" fontId="0" fillId="11" borderId="13" xfId="0" applyNumberFormat="1" applyFill="1" applyBorder="1"/>
    <xf numFmtId="171" fontId="0" fillId="0" borderId="13" xfId="0" applyNumberFormat="1" applyBorder="1"/>
    <xf numFmtId="0" fontId="40" fillId="0" borderId="0" xfId="0" applyFont="1"/>
    <xf numFmtId="166" fontId="0" fillId="13" borderId="20" xfId="0" applyNumberFormat="1" applyFill="1" applyBorder="1" applyAlignment="1">
      <alignment horizontal="center" vertical="center"/>
    </xf>
    <xf numFmtId="166" fontId="0" fillId="13" borderId="43" xfId="0" applyNumberFormat="1" applyFill="1" applyBorder="1" applyAlignment="1">
      <alignment horizontal="center" vertical="center"/>
    </xf>
    <xf numFmtId="9" fontId="9" fillId="13" borderId="43" xfId="1" applyFont="1" applyFill="1" applyBorder="1" applyAlignment="1">
      <alignment horizontal="right" vertical="center"/>
    </xf>
    <xf numFmtId="166" fontId="9" fillId="13" borderId="43" xfId="0" applyNumberFormat="1" applyFont="1" applyFill="1" applyBorder="1" applyAlignment="1">
      <alignment horizontal="center" vertical="center"/>
    </xf>
    <xf numFmtId="0" fontId="0" fillId="13" borderId="41" xfId="0" applyFill="1" applyBorder="1" applyAlignment="1">
      <alignment horizontal="center" vertical="center"/>
    </xf>
    <xf numFmtId="0" fontId="0" fillId="13" borderId="47" xfId="0" applyFill="1" applyBorder="1" applyAlignment="1">
      <alignment horizontal="center" vertical="center"/>
    </xf>
    <xf numFmtId="0" fontId="14" fillId="13" borderId="16" xfId="0" applyFont="1" applyFill="1" applyBorder="1" applyAlignment="1">
      <alignment horizontal="center" vertical="center"/>
    </xf>
    <xf numFmtId="166" fontId="9" fillId="13" borderId="43" xfId="1" applyNumberFormat="1" applyFont="1" applyFill="1" applyBorder="1" applyAlignment="1">
      <alignment vertical="center"/>
    </xf>
    <xf numFmtId="166" fontId="0" fillId="13" borderId="43" xfId="0" applyNumberFormat="1" applyFill="1" applyBorder="1" applyAlignment="1">
      <alignment vertical="center"/>
    </xf>
    <xf numFmtId="0" fontId="9" fillId="13" borderId="42" xfId="0" applyFont="1" applyFill="1" applyBorder="1" applyAlignment="1">
      <alignment horizontal="left" vertical="center"/>
    </xf>
    <xf numFmtId="0" fontId="0" fillId="13" borderId="48" xfId="0" applyFill="1" applyBorder="1" applyAlignment="1">
      <alignment horizontal="left" vertical="center"/>
    </xf>
    <xf numFmtId="0" fontId="0" fillId="13" borderId="49" xfId="0" applyFill="1" applyBorder="1" applyAlignment="1">
      <alignment horizontal="center" vertical="center"/>
    </xf>
    <xf numFmtId="166" fontId="0" fillId="13" borderId="46" xfId="0" applyNumberFormat="1" applyFill="1" applyBorder="1" applyAlignment="1">
      <alignment vertical="center"/>
    </xf>
    <xf numFmtId="0" fontId="0" fillId="0" borderId="17" xfId="0" applyBorder="1" applyAlignment="1">
      <alignment horizontal="left" vertical="center"/>
    </xf>
    <xf numFmtId="0" fontId="42" fillId="13" borderId="0" xfId="0" applyFont="1" applyFill="1" applyAlignment="1">
      <alignment horizontal="center" vertical="center"/>
    </xf>
    <xf numFmtId="0" fontId="8" fillId="13" borderId="20" xfId="0" applyFont="1" applyFill="1" applyBorder="1" applyAlignment="1">
      <alignment horizontal="center" vertical="center"/>
    </xf>
    <xf numFmtId="0" fontId="8" fillId="13" borderId="0" xfId="0" applyFont="1" applyFill="1" applyAlignment="1">
      <alignment horizontal="center" vertical="center"/>
    </xf>
    <xf numFmtId="0" fontId="0" fillId="13" borderId="52" xfId="0" applyFill="1" applyBorder="1" applyAlignment="1">
      <alignment horizontal="left" vertical="center"/>
    </xf>
    <xf numFmtId="2" fontId="0" fillId="13" borderId="52" xfId="0" applyNumberFormat="1" applyFill="1" applyBorder="1" applyAlignment="1">
      <alignment horizontal="center" vertical="center"/>
    </xf>
    <xf numFmtId="0" fontId="0" fillId="13" borderId="52" xfId="0" applyFill="1" applyBorder="1" applyAlignment="1">
      <alignment horizontal="center" vertical="center"/>
    </xf>
    <xf numFmtId="0" fontId="43" fillId="13" borderId="53" xfId="0" applyFont="1" applyFill="1" applyBorder="1" applyAlignment="1">
      <alignment horizontal="left" vertical="center"/>
    </xf>
    <xf numFmtId="2" fontId="0" fillId="13" borderId="54" xfId="0" applyNumberFormat="1" applyFill="1" applyBorder="1" applyAlignment="1">
      <alignment horizontal="center" vertical="center"/>
    </xf>
    <xf numFmtId="0" fontId="0" fillId="13" borderId="54" xfId="0" applyFill="1" applyBorder="1" applyAlignment="1">
      <alignment horizontal="center" vertical="center"/>
    </xf>
    <xf numFmtId="0" fontId="0" fillId="13" borderId="0" xfId="0" applyFill="1" applyAlignment="1">
      <alignment vertical="center"/>
    </xf>
    <xf numFmtId="171" fontId="43" fillId="13" borderId="55" xfId="1" applyNumberFormat="1" applyFont="1" applyFill="1" applyBorder="1" applyAlignment="1">
      <alignment horizontal="center" vertical="center"/>
    </xf>
    <xf numFmtId="165" fontId="39" fillId="13" borderId="5" xfId="0" applyNumberFormat="1" applyFont="1" applyFill="1" applyBorder="1" applyAlignment="1">
      <alignment horizontal="center" vertical="center"/>
    </xf>
    <xf numFmtId="165" fontId="39" fillId="13" borderId="9" xfId="0" applyNumberFormat="1" applyFont="1" applyFill="1" applyBorder="1" applyAlignment="1">
      <alignment horizontal="center" vertical="center"/>
    </xf>
    <xf numFmtId="0" fontId="9" fillId="0" borderId="0" xfId="0" applyFont="1" applyAlignment="1">
      <alignment horizontal="right"/>
    </xf>
    <xf numFmtId="0" fontId="44" fillId="0" borderId="0" xfId="0" applyFont="1" applyAlignment="1">
      <alignment horizontal="right"/>
    </xf>
    <xf numFmtId="0" fontId="45" fillId="0" borderId="0" xfId="44" applyAlignment="1">
      <alignment horizontal="right"/>
    </xf>
    <xf numFmtId="9" fontId="9" fillId="0" borderId="0" xfId="1" applyFont="1"/>
    <xf numFmtId="175" fontId="0" fillId="11" borderId="13" xfId="0" quotePrefix="1" applyNumberFormat="1" applyFill="1" applyBorder="1"/>
    <xf numFmtId="10" fontId="0" fillId="0" borderId="13" xfId="0" applyNumberFormat="1" applyBorder="1"/>
    <xf numFmtId="0" fontId="49" fillId="46" borderId="0" xfId="0" applyFont="1" applyFill="1" applyAlignment="1">
      <alignment horizontal="right" vertical="center"/>
    </xf>
    <xf numFmtId="176" fontId="2" fillId="13" borderId="0" xfId="0" applyNumberFormat="1" applyFont="1" applyFill="1" applyAlignment="1">
      <alignment horizontal="center" vertical="center"/>
    </xf>
    <xf numFmtId="166" fontId="0" fillId="13" borderId="20" xfId="0" applyNumberFormat="1" applyFill="1" applyBorder="1" applyAlignment="1">
      <alignment horizontal="right" vertical="center"/>
    </xf>
    <xf numFmtId="0" fontId="50" fillId="46" borderId="17" xfId="0" applyFont="1" applyFill="1" applyBorder="1" applyAlignment="1">
      <alignment horizontal="left" vertical="center"/>
    </xf>
    <xf numFmtId="0" fontId="0" fillId="13" borderId="0" xfId="0" applyFill="1" applyBorder="1" applyAlignment="1">
      <alignment horizontal="center" vertical="center"/>
    </xf>
    <xf numFmtId="0" fontId="41" fillId="47" borderId="17" xfId="0" applyFont="1" applyFill="1" applyBorder="1" applyAlignment="1">
      <alignment horizontal="left" vertical="center"/>
    </xf>
    <xf numFmtId="0" fontId="41" fillId="47" borderId="21" xfId="0" applyFont="1" applyFill="1" applyBorder="1" applyAlignment="1">
      <alignment horizontal="left" vertical="center"/>
    </xf>
    <xf numFmtId="166" fontId="41" fillId="48" borderId="22" xfId="0" applyNumberFormat="1" applyFont="1" applyFill="1" applyBorder="1" applyAlignment="1">
      <alignment horizontal="center" vertical="center"/>
    </xf>
    <xf numFmtId="0" fontId="41" fillId="48" borderId="18" xfId="0" applyFont="1" applyFill="1" applyBorder="1" applyAlignment="1">
      <alignment horizontal="left" vertical="center"/>
    </xf>
    <xf numFmtId="0" fontId="41" fillId="48" borderId="23" xfId="0" applyFont="1" applyFill="1" applyBorder="1" applyAlignment="1">
      <alignment horizontal="center" vertical="center"/>
    </xf>
    <xf numFmtId="166" fontId="41" fillId="48" borderId="23" xfId="0" applyNumberFormat="1" applyFont="1" applyFill="1" applyBorder="1" applyAlignment="1">
      <alignment horizontal="center" vertical="center"/>
    </xf>
    <xf numFmtId="166" fontId="41" fillId="48" borderId="19" xfId="0" applyNumberFormat="1" applyFont="1" applyFill="1" applyBorder="1" applyAlignment="1">
      <alignment horizontal="center" vertical="center"/>
    </xf>
    <xf numFmtId="0" fontId="51" fillId="49" borderId="56" xfId="0" applyFont="1" applyFill="1" applyBorder="1" applyAlignment="1">
      <alignment horizontal="center" vertical="center"/>
    </xf>
    <xf numFmtId="0" fontId="12" fillId="50" borderId="38" xfId="0" applyFont="1" applyFill="1" applyBorder="1" applyAlignment="1">
      <alignment horizontal="left" vertical="center"/>
    </xf>
    <xf numFmtId="166" fontId="12" fillId="50" borderId="44" xfId="0" applyNumberFormat="1" applyFont="1" applyFill="1" applyBorder="1" applyAlignment="1">
      <alignment vertical="center"/>
    </xf>
    <xf numFmtId="166" fontId="12" fillId="50" borderId="45" xfId="0" applyNumberFormat="1" applyFont="1" applyFill="1" applyBorder="1" applyAlignment="1">
      <alignment vertical="center"/>
    </xf>
    <xf numFmtId="0" fontId="12" fillId="50" borderId="36" xfId="0" applyFont="1" applyFill="1" applyBorder="1" applyAlignment="1">
      <alignment horizontal="center" vertical="center"/>
    </xf>
    <xf numFmtId="0" fontId="43" fillId="13" borderId="0" xfId="0" applyFont="1" applyFill="1" applyBorder="1" applyAlignment="1">
      <alignment horizontal="left" vertical="center"/>
    </xf>
    <xf numFmtId="2" fontId="0" fillId="13" borderId="0" xfId="0" applyNumberFormat="1" applyFill="1" applyBorder="1" applyAlignment="1">
      <alignment horizontal="center" vertical="center"/>
    </xf>
    <xf numFmtId="171" fontId="43" fillId="13" borderId="0" xfId="1" applyNumberFormat="1" applyFont="1" applyFill="1" applyBorder="1" applyAlignment="1">
      <alignment horizontal="center" vertical="center"/>
    </xf>
    <xf numFmtId="0" fontId="0" fillId="0" borderId="57" xfId="0" applyBorder="1"/>
    <xf numFmtId="176" fontId="0" fillId="11" borderId="13" xfId="0" applyNumberFormat="1" applyFill="1" applyBorder="1"/>
    <xf numFmtId="0" fontId="0" fillId="11" borderId="13" xfId="0" applyFill="1" applyBorder="1" applyAlignment="1">
      <alignment horizontal="right"/>
    </xf>
    <xf numFmtId="0" fontId="49" fillId="46" borderId="13" xfId="0" applyFont="1" applyFill="1" applyBorder="1" applyAlignment="1">
      <alignment horizontal="left" vertical="center"/>
    </xf>
    <xf numFmtId="0" fontId="52" fillId="0" borderId="26" xfId="0" applyFont="1" applyBorder="1" applyAlignment="1">
      <alignment vertical="center"/>
    </xf>
    <xf numFmtId="0" fontId="48" fillId="0" borderId="59" xfId="0" applyFont="1" applyBorder="1"/>
    <xf numFmtId="0" fontId="48" fillId="0" borderId="60" xfId="0" applyFont="1" applyBorder="1"/>
    <xf numFmtId="0" fontId="48" fillId="0" borderId="60" xfId="0" applyFont="1" applyBorder="1" applyAlignment="1">
      <alignment wrapText="1"/>
    </xf>
    <xf numFmtId="0" fontId="48" fillId="0" borderId="61" xfId="0" applyFont="1" applyBorder="1" applyAlignment="1">
      <alignment wrapText="1"/>
    </xf>
    <xf numFmtId="0" fontId="48" fillId="0" borderId="62" xfId="0" applyFont="1" applyBorder="1" applyAlignment="1">
      <alignment wrapText="1"/>
    </xf>
    <xf numFmtId="0" fontId="48" fillId="0" borderId="63" xfId="0" applyFont="1" applyBorder="1" applyAlignment="1">
      <alignment wrapText="1"/>
    </xf>
    <xf numFmtId="0" fontId="48" fillId="0" borderId="64" xfId="0" applyFont="1" applyBorder="1" applyAlignment="1">
      <alignment wrapText="1"/>
    </xf>
    <xf numFmtId="0" fontId="37" fillId="13" borderId="50" xfId="0" applyFont="1" applyFill="1" applyBorder="1" applyAlignment="1">
      <alignment horizontal="center" vertical="center" wrapText="1"/>
    </xf>
    <xf numFmtId="0" fontId="37" fillId="13" borderId="51" xfId="0" applyFont="1" applyFill="1" applyBorder="1" applyAlignment="1">
      <alignment horizontal="center" vertical="center" wrapText="1"/>
    </xf>
    <xf numFmtId="0" fontId="37" fillId="13" borderId="58" xfId="0" applyFont="1" applyFill="1" applyBorder="1" applyAlignment="1">
      <alignment horizontal="center" vertical="center" wrapText="1"/>
    </xf>
    <xf numFmtId="0" fontId="14" fillId="46" borderId="14" xfId="0" applyFont="1" applyFill="1" applyBorder="1" applyAlignment="1">
      <alignment horizontal="center" vertical="center"/>
    </xf>
    <xf numFmtId="0" fontId="14" fillId="46" borderId="15" xfId="0" applyFont="1" applyFill="1" applyBorder="1" applyAlignment="1">
      <alignment horizontal="center" vertical="center"/>
    </xf>
    <xf numFmtId="9" fontId="9" fillId="13" borderId="0" xfId="1" applyFont="1" applyFill="1" applyBorder="1" applyAlignment="1">
      <alignment horizontal="right" vertical="center"/>
    </xf>
    <xf numFmtId="9" fontId="9" fillId="13" borderId="20" xfId="1" applyFont="1" applyFill="1" applyBorder="1" applyAlignment="1">
      <alignment horizontal="right" vertical="center"/>
    </xf>
    <xf numFmtId="0" fontId="13" fillId="46" borderId="0" xfId="0" applyFont="1" applyFill="1" applyAlignment="1">
      <alignment horizontal="center" vertical="center"/>
    </xf>
    <xf numFmtId="0" fontId="13" fillId="46" borderId="21" xfId="0" applyFont="1" applyFill="1" applyBorder="1" applyAlignment="1">
      <alignment horizontal="center" vertical="center"/>
    </xf>
    <xf numFmtId="167" fontId="2" fillId="13" borderId="23" xfId="0" applyNumberFormat="1" applyFont="1" applyFill="1" applyBorder="1" applyAlignment="1">
      <alignment horizontal="center" vertical="center"/>
    </xf>
    <xf numFmtId="167" fontId="2" fillId="13" borderId="19" xfId="0" applyNumberFormat="1" applyFont="1" applyFill="1" applyBorder="1" applyAlignment="1">
      <alignment horizontal="center" vertical="center"/>
    </xf>
    <xf numFmtId="168" fontId="2" fillId="13" borderId="0" xfId="0" applyNumberFormat="1" applyFont="1" applyFill="1" applyAlignment="1">
      <alignment horizontal="right" vertical="center"/>
    </xf>
    <xf numFmtId="168" fontId="2" fillId="13" borderId="20" xfId="0" applyNumberFormat="1" applyFont="1" applyFill="1" applyBorder="1" applyAlignment="1">
      <alignment horizontal="right" vertical="center"/>
    </xf>
    <xf numFmtId="0" fontId="52" fillId="0" borderId="65" xfId="0" applyFont="1" applyBorder="1" applyAlignment="1">
      <alignment vertical="center"/>
    </xf>
    <xf numFmtId="0" fontId="52" fillId="0" borderId="62" xfId="0" applyFont="1" applyBorder="1" applyAlignment="1">
      <alignment vertical="center"/>
    </xf>
    <xf numFmtId="0" fontId="52" fillId="0" borderId="66" xfId="0" applyFont="1" applyBorder="1" applyAlignment="1">
      <alignment vertical="center"/>
    </xf>
    <xf numFmtId="0" fontId="6" fillId="8" borderId="11" xfId="0" applyFont="1" applyFill="1" applyBorder="1" applyAlignment="1">
      <alignment horizontal="center"/>
    </xf>
    <xf numFmtId="0" fontId="6" fillId="8" borderId="40" xfId="0" applyFont="1" applyFill="1" applyBorder="1" applyAlignment="1">
      <alignment horizontal="center"/>
    </xf>
    <xf numFmtId="0" fontId="9" fillId="14" borderId="26" xfId="0" applyFont="1" applyFill="1" applyBorder="1" applyAlignment="1">
      <alignment horizontal="center" vertical="center" wrapText="1"/>
    </xf>
    <xf numFmtId="0" fontId="9" fillId="14" borderId="24" xfId="0" applyFont="1" applyFill="1" applyBorder="1" applyAlignment="1">
      <alignment horizontal="center" vertical="center" wrapText="1"/>
    </xf>
    <xf numFmtId="0" fontId="9" fillId="14" borderId="25"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cellXfs>
  <cellStyles count="45">
    <cellStyle name="20 % - Accent1" xfId="21" builtinId="30" customBuiltin="1"/>
    <cellStyle name="20 % - Accent2" xfId="25" builtinId="34" customBuiltin="1"/>
    <cellStyle name="20 % - Accent3" xfId="29" builtinId="38" customBuiltin="1"/>
    <cellStyle name="20 % - Accent4" xfId="33" builtinId="42" customBuiltin="1"/>
    <cellStyle name="20 % - Accent5" xfId="37" builtinId="46" customBuiltin="1"/>
    <cellStyle name="20 % - Accent6" xfId="41" builtinId="50" customBuiltin="1"/>
    <cellStyle name="40 % - Accent1" xfId="22" builtinId="31" customBuiltin="1"/>
    <cellStyle name="40 % - Accent2" xfId="26" builtinId="35" customBuiltin="1"/>
    <cellStyle name="40 % - Accent3" xfId="30" builtinId="39" customBuiltin="1"/>
    <cellStyle name="40 % - Accent4" xfId="34" builtinId="43" customBuiltin="1"/>
    <cellStyle name="40 % - Accent5" xfId="38" builtinId="47" customBuiltin="1"/>
    <cellStyle name="40 % - Accent6" xfId="42" builtinId="51" customBuiltin="1"/>
    <cellStyle name="60 % - Accent1" xfId="23" builtinId="32" customBuiltin="1"/>
    <cellStyle name="60 % - Accent2" xfId="27" builtinId="36" customBuiltin="1"/>
    <cellStyle name="60 % - Accent3" xfId="31" builtinId="40" customBuiltin="1"/>
    <cellStyle name="60 % - Accent4" xfId="35" builtinId="44" customBuiltin="1"/>
    <cellStyle name="60 % - Accent5" xfId="39" builtinId="48" customBuiltin="1"/>
    <cellStyle name="60 %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Avertissement" xfId="16" builtinId="11" customBuiltin="1"/>
    <cellStyle name="Calcul" xfId="13" builtinId="22" customBuiltin="1"/>
    <cellStyle name="Cellule liée" xfId="14" builtinId="24" customBuiltin="1"/>
    <cellStyle name="Entrée" xfId="11" builtinId="20" customBuiltin="1"/>
    <cellStyle name="Insatisfaisant" xfId="9" builtinId="27" customBuiltin="1"/>
    <cellStyle name="Lien hypertexte" xfId="44" builtinId="8"/>
    <cellStyle name="Milliers" xfId="2" builtinId="3"/>
    <cellStyle name="Neutre" xfId="10" builtinId="28" customBuiltin="1"/>
    <cellStyle name="Normal" xfId="0" builtinId="0"/>
    <cellStyle name="Note" xfId="17" builtinId="10" customBuiltin="1"/>
    <cellStyle name="Pourcentage" xfId="1" builtinId="5"/>
    <cellStyle name="Satisfaisant" xfId="8" builtinId="26" customBuiltin="1"/>
    <cellStyle name="Sortie" xfId="12" builtinId="21" customBuiltin="1"/>
    <cellStyle name="Texte explicatif" xfId="18" builtinId="53" customBuiltin="1"/>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9" builtinId="25" customBuiltin="1"/>
    <cellStyle name="Vérification" xfId="15" builtinId="23" customBuiltin="1"/>
  </cellStyles>
  <dxfs count="20">
    <dxf>
      <font>
        <b val="0"/>
        <i val="0"/>
        <strike val="0"/>
        <condense val="0"/>
        <extend val="0"/>
        <outline val="0"/>
        <shadow val="0"/>
        <u val="none"/>
        <vertAlign val="baseline"/>
        <sz val="10"/>
        <color theme="1"/>
        <name val="Arial"/>
        <family val="2"/>
        <scheme val="none"/>
      </font>
      <numFmt numFmtId="165" formatCode="#,##0.00\ [$€-1];[Red]\-#,##0.00\ [$€-1]"/>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numFmt numFmtId="165" formatCode="#,##0.00\ [$€-1];[Red]\-#,##0.00\ [$€-1]"/>
      <border diagonalUp="0" diagonalDown="0">
        <left style="thin">
          <color indexed="64"/>
        </left>
        <right style="thin">
          <color auto="1"/>
        </right>
        <top style="thin">
          <color auto="1"/>
        </top>
        <bottom style="thin">
          <color auto="1"/>
        </bottom>
        <vertical/>
        <horizontal style="thin">
          <color auto="1"/>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theme="1"/>
        <name val="Calibri"/>
        <family val="2"/>
        <scheme val="minor"/>
      </font>
      <numFmt numFmtId="173" formatCode="0.000%"/>
      <border diagonalUp="0" diagonalDown="0">
        <left style="thin">
          <color auto="1"/>
        </left>
        <right style="thin">
          <color auto="1"/>
        </right>
        <top style="thin">
          <color auto="1"/>
        </top>
        <bottom style="thin">
          <color auto="1"/>
        </bottom>
        <vertical/>
        <horizontal/>
      </border>
    </dxf>
    <dxf>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border diagonalUp="0" diagonalDown="0">
        <left style="thin">
          <color auto="1"/>
        </left>
        <right style="thin">
          <color auto="1"/>
        </right>
        <top style="thin">
          <color auto="1"/>
        </top>
        <bottom style="thin">
          <color auto="1"/>
        </bottom>
        <vertical/>
        <horizontal/>
      </border>
    </dxf>
    <dxf>
      <border outline="0">
        <right style="thin">
          <color auto="1"/>
        </right>
        <bottom style="thin">
          <color auto="1"/>
        </bottom>
      </border>
    </dxf>
    <dxf>
      <fill>
        <patternFill patternType="solid">
          <fgColor indexed="64"/>
          <bgColor theme="5"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numFmt numFmtId="165" formatCode="#,##0.00\ [$€-1];[Red]\-#,##0.00\ [$€-1]"/>
      <fill>
        <patternFill patternType="solid">
          <fgColor indexed="64"/>
          <bgColor theme="0"/>
        </patternFill>
      </fill>
      <alignment horizontal="center" vertical="center" textRotation="0" wrapText="0" indent="0" justifyLastLine="0" shrinkToFit="0" readingOrder="0"/>
      <border diagonalUp="0" diagonalDown="0">
        <left style="thin">
          <color auto="1"/>
        </left>
        <right/>
        <top style="thin">
          <color auto="1"/>
        </top>
        <bottom style="thin">
          <color auto="1"/>
        </bottom>
      </border>
    </dxf>
    <dxf>
      <font>
        <b/>
        <i val="0"/>
        <strike val="0"/>
        <condense val="0"/>
        <extend val="0"/>
        <outline val="0"/>
        <shadow val="0"/>
        <u val="none"/>
        <vertAlign val="baseline"/>
        <sz val="10"/>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ont>
        <b/>
        <strike val="0"/>
        <outline val="0"/>
        <shadow val="0"/>
        <u val="none"/>
        <vertAlign val="baseline"/>
        <sz val="10"/>
        <color auto="1"/>
      </font>
    </dxf>
    <dxf>
      <border outline="0">
        <bottom style="thin">
          <color auto="1"/>
        </bottom>
      </border>
    </dxf>
    <dxf>
      <font>
        <b/>
        <i val="0"/>
        <strike val="0"/>
        <condense val="0"/>
        <extend val="0"/>
        <outline val="0"/>
        <shadow val="0"/>
        <u val="none"/>
        <vertAlign val="baseline"/>
        <sz val="10"/>
        <color auto="1"/>
        <name val="Segoe UI"/>
        <scheme val="none"/>
      </font>
      <fill>
        <patternFill patternType="solid">
          <fgColor indexed="64"/>
          <bgColor theme="5" tint="0.59999389629810485"/>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00CC99"/>
      <color rgb="FF80C9FF"/>
      <color rgb="FF005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476250</xdr:colOff>
      <xdr:row>16</xdr:row>
      <xdr:rowOff>95250</xdr:rowOff>
    </xdr:from>
    <xdr:to>
      <xdr:col>6</xdr:col>
      <xdr:colOff>315541</xdr:colOff>
      <xdr:row>20</xdr:row>
      <xdr:rowOff>35361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5850" y="3562350"/>
          <a:ext cx="2885386" cy="7021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182880</xdr:colOff>
          <xdr:row>1</xdr:row>
          <xdr:rowOff>38100</xdr:rowOff>
        </xdr:from>
        <xdr:to>
          <xdr:col>14</xdr:col>
          <xdr:colOff>342900</xdr:colOff>
          <xdr:row>3</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2032197</xdr:colOff>
      <xdr:row>0</xdr:row>
      <xdr:rowOff>79506</xdr:rowOff>
    </xdr:from>
    <xdr:to>
      <xdr:col>2</xdr:col>
      <xdr:colOff>1158366</xdr:colOff>
      <xdr:row>0</xdr:row>
      <xdr:rowOff>592269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7447" y="79506"/>
          <a:ext cx="2181565" cy="508953"/>
        </a:xfrm>
        <a:prstGeom prst="rect">
          <a:avLst/>
        </a:prstGeom>
      </xdr:spPr>
    </xdr:pic>
    <xdr:clientData/>
  </xdr:twoCellAnchor>
  <xdr:twoCellAnchor editAs="oneCell">
    <xdr:from>
      <xdr:col>0</xdr:col>
      <xdr:colOff>93457</xdr:colOff>
      <xdr:row>36</xdr:row>
      <xdr:rowOff>7508</xdr:rowOff>
    </xdr:from>
    <xdr:to>
      <xdr:col>5</xdr:col>
      <xdr:colOff>20056</xdr:colOff>
      <xdr:row>44</xdr:row>
      <xdr:rowOff>35634</xdr:rowOff>
    </xdr:to>
    <xdr:pic>
      <xdr:nvPicPr>
        <xdr:cNvPr id="4" name="Image 3">
          <a:extLst>
            <a:ext uri="{FF2B5EF4-FFF2-40B4-BE49-F238E27FC236}">
              <a16:creationId xmlns:a16="http://schemas.microsoft.com/office/drawing/2014/main" id="{7851BD91-CE94-6F1A-CD02-E407143A7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57" y="10232876"/>
          <a:ext cx="6698538" cy="1466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Mutuelle" displayName="TabMutuelle" ref="K31:L33" totalsRowShown="0" headerRowDxfId="19" dataDxfId="17" headerRowBorderDxfId="18" tableBorderDxfId="16" totalsRowBorderDxfId="15">
  <autoFilter ref="K31:L33" xr:uid="{00000000-0009-0000-0100-000003000000}">
    <filterColumn colId="0" hiddenButton="1"/>
    <filterColumn colId="1" hiddenButton="1"/>
  </autoFilter>
  <tableColumns count="2">
    <tableColumn id="1" xr3:uid="{00000000-0010-0000-0100-000001000000}" name="Mutuelle" dataDxfId="14"/>
    <tableColumn id="2" xr3:uid="{00000000-0010-0000-0100-000002000000}" name="part sal" dataDxfId="13">
      <calculatedColumnFormula>M24</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B9F22B-459E-4FF0-8E00-A9A2FA417BC3}" name="Tabmutuelle_AXA" displayName="Tabmutuelle_AXA" ref="I22:N28" headerRowCount="0" totalsRowShown="0" headerRowDxfId="12" tableBorderDxfId="11">
  <tableColumns count="6">
    <tableColumn id="1" xr3:uid="{7300FEE3-3E1A-4455-9D63-430AD33ECC81}" name="Colonne1" dataDxfId="10"/>
    <tableColumn id="4" xr3:uid="{182C38EE-9216-4340-9796-C5EC9A1A4635}" name="Colonne4" headerRowDxfId="9" dataDxfId="8"/>
    <tableColumn id="5" xr3:uid="{B36999D8-BCF5-41CD-BB1E-CFBFAAEF662C}" name="Colonne5" headerRowDxfId="7" dataDxfId="6"/>
    <tableColumn id="6" xr3:uid="{5B69CCFF-4B35-40EE-8623-9BE764110772}" name="Colonne6" headerRowDxfId="5" dataDxfId="4"/>
    <tableColumn id="7" xr3:uid="{19F9980C-506F-4BF6-AD68-AE827126CE8F}" name="Colonne7" headerRowDxfId="3" dataDxfId="2"/>
    <tableColumn id="8" xr3:uid="{33568481-BA54-42FF-8AF0-FE0B81391315}" name="Colonne8" headerRowDxfId="1" dataDxfId="0">
      <calculatedColumnFormula>M22+K22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ww.urssaf.fr/portail/home/taux-et-baremes/versement-mobilite.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0000"/>
  </sheetPr>
  <dimension ref="B2:U33"/>
  <sheetViews>
    <sheetView showGridLines="0" zoomScale="85" zoomScaleNormal="85" workbookViewId="0">
      <selection activeCell="L7" sqref="L7"/>
    </sheetView>
  </sheetViews>
  <sheetFormatPr baseColWidth="10" defaultColWidth="8.5546875" defaultRowHeight="14.4" x14ac:dyDescent="0.3"/>
  <sheetData>
    <row r="2" spans="2:9" ht="15" thickBot="1" x14ac:dyDescent="0.35"/>
    <row r="3" spans="2:9" ht="31.8" thickBot="1" x14ac:dyDescent="0.65">
      <c r="B3" s="50" t="s">
        <v>0</v>
      </c>
      <c r="C3" s="51"/>
      <c r="D3" s="51"/>
      <c r="E3" s="51"/>
      <c r="F3" s="51"/>
      <c r="G3" s="53"/>
      <c r="H3" s="51"/>
      <c r="I3" s="52"/>
    </row>
    <row r="5" spans="2:9" x14ac:dyDescent="0.3">
      <c r="B5" s="1" t="s">
        <v>1</v>
      </c>
    </row>
    <row r="7" spans="2:9" x14ac:dyDescent="0.3">
      <c r="B7" s="1" t="s">
        <v>2</v>
      </c>
    </row>
    <row r="8" spans="2:9" x14ac:dyDescent="0.3">
      <c r="B8" s="1" t="s">
        <v>3</v>
      </c>
    </row>
    <row r="9" spans="2:9" x14ac:dyDescent="0.3">
      <c r="B9" s="1" t="s">
        <v>4</v>
      </c>
      <c r="F9" s="54" t="s">
        <v>5</v>
      </c>
    </row>
    <row r="10" spans="2:9" x14ac:dyDescent="0.3">
      <c r="B10" s="1" t="s">
        <v>6</v>
      </c>
    </row>
    <row r="11" spans="2:9" x14ac:dyDescent="0.3">
      <c r="B11" s="1" t="s">
        <v>7</v>
      </c>
    </row>
    <row r="12" spans="2:9" x14ac:dyDescent="0.3">
      <c r="B12" s="1" t="s">
        <v>8</v>
      </c>
    </row>
    <row r="14" spans="2:9" x14ac:dyDescent="0.3">
      <c r="B14" s="1" t="s">
        <v>9</v>
      </c>
    </row>
    <row r="33" spans="21:21" x14ac:dyDescent="0.3">
      <c r="U33" t="s">
        <v>10</v>
      </c>
    </row>
  </sheetData>
  <pageMargins left="0.7" right="0.7" top="0.75" bottom="0.75" header="0.3" footer="0.3"/>
  <customProperties>
    <customPr name="OrphanNamesChecked" r:id="rId1"/>
  </customPropertie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0C9FF"/>
  </sheetPr>
  <dimension ref="A2:U31"/>
  <sheetViews>
    <sheetView showGridLines="0" zoomScale="170" zoomScaleNormal="170" workbookViewId="0">
      <selection activeCell="C22" sqref="C22"/>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bestFit="1" customWidth="1"/>
    <col min="11" max="11" width="9.44140625" bestFit="1" customWidth="1"/>
    <col min="13" max="13" width="10.5546875" bestFit="1" customWidth="1"/>
  </cols>
  <sheetData>
    <row r="2" spans="1:21" x14ac:dyDescent="0.3">
      <c r="U2" s="26">
        <v>21.67</v>
      </c>
    </row>
    <row r="3" spans="1:21" ht="15" thickBot="1" x14ac:dyDescent="0.35"/>
    <row r="4" spans="1:21" ht="15" thickBot="1" x14ac:dyDescent="0.35">
      <c r="A4" s="27" t="s">
        <v>11</v>
      </c>
      <c r="B4" s="32">
        <v>65438.448868972708</v>
      </c>
      <c r="C4" s="31" t="s">
        <v>12</v>
      </c>
      <c r="H4" s="27" t="s">
        <v>13</v>
      </c>
      <c r="J4" s="34">
        <v>500</v>
      </c>
      <c r="K4" s="124" t="str">
        <f>IF(AND(J10=10%,J4&lt;250)," Erreur TJM","")</f>
        <v/>
      </c>
    </row>
    <row r="5" spans="1:21" ht="15" thickBot="1" x14ac:dyDescent="0.35">
      <c r="A5" s="27" t="s">
        <v>11</v>
      </c>
      <c r="B5" s="32">
        <f>B4/12</f>
        <v>5453.2040724143926</v>
      </c>
      <c r="C5" s="31" t="s">
        <v>14</v>
      </c>
      <c r="F5" s="25"/>
      <c r="H5" s="27" t="s">
        <v>15</v>
      </c>
      <c r="J5" s="34">
        <v>18</v>
      </c>
    </row>
    <row r="6" spans="1:21" ht="15" thickBot="1" x14ac:dyDescent="0.35">
      <c r="A6" s="27" t="s">
        <v>16</v>
      </c>
      <c r="B6" s="32">
        <f>'BS . Avec prov'!E43</f>
        <v>1249.3189811018394</v>
      </c>
      <c r="H6" s="27" t="s">
        <v>17</v>
      </c>
      <c r="J6" s="30">
        <f>J4*J5</f>
        <v>9000</v>
      </c>
      <c r="K6" s="31" t="s">
        <v>14</v>
      </c>
      <c r="M6" s="29">
        <f>J6*12</f>
        <v>108000</v>
      </c>
      <c r="N6" s="31" t="s">
        <v>12</v>
      </c>
    </row>
    <row r="7" spans="1:21" ht="15" thickBot="1" x14ac:dyDescent="0.35">
      <c r="A7" s="27" t="s">
        <v>18</v>
      </c>
      <c r="B7" s="32" t="e">
        <f>'BS . Avec prov'!G43</f>
        <v>#REF!</v>
      </c>
      <c r="H7" s="27" t="s">
        <v>19</v>
      </c>
      <c r="J7" s="122">
        <v>0.06</v>
      </c>
      <c r="M7" s="29">
        <f>J6*J7</f>
        <v>540</v>
      </c>
      <c r="N7" s="31" t="s">
        <v>20</v>
      </c>
    </row>
    <row r="8" spans="1:21" ht="15" thickBot="1" x14ac:dyDescent="0.35">
      <c r="H8" s="27" t="s">
        <v>21</v>
      </c>
      <c r="J8" s="55">
        <v>0.02</v>
      </c>
      <c r="M8" s="29">
        <f>J8*J6</f>
        <v>180</v>
      </c>
      <c r="N8" s="31" t="s">
        <v>20</v>
      </c>
    </row>
    <row r="9" spans="1:21" ht="15" thickBot="1" x14ac:dyDescent="0.35">
      <c r="A9" s="27" t="s">
        <v>22</v>
      </c>
      <c r="B9" s="33">
        <f>'BS . Avec prov'!E47</f>
        <v>4104.8850913125525</v>
      </c>
      <c r="H9" s="27" t="s">
        <v>23</v>
      </c>
      <c r="J9" s="157">
        <v>0</v>
      </c>
      <c r="M9" s="29">
        <f>($J$6-$M$7-$M$8-$J$11-$M$12-$M$13)*$J$9/(1+$J$9)</f>
        <v>0</v>
      </c>
      <c r="N9" s="31" t="s">
        <v>20</v>
      </c>
      <c r="O9" s="98"/>
    </row>
    <row r="10" spans="1:21" ht="15" thickBot="1" x14ac:dyDescent="0.35">
      <c r="A10" s="27" t="s">
        <v>24</v>
      </c>
      <c r="B10" s="33" t="e">
        <f>B5+B7+M7+J11+M8+M9+M10+M12+M13+M23</f>
        <v>#REF!</v>
      </c>
      <c r="C10" s="31" t="s">
        <v>14</v>
      </c>
      <c r="H10" s="27" t="s">
        <v>25</v>
      </c>
      <c r="J10" s="28">
        <v>0</v>
      </c>
      <c r="M10" s="29">
        <f>IF(J10=0,0,('BS . Avec prov'!E6+'BS . Avec prov'!E7+'BS . Avec prov'!E8)*0.11*(1+'BS . Avec prov'!C57))</f>
        <v>0</v>
      </c>
      <c r="N10" s="31" t="s">
        <v>20</v>
      </c>
    </row>
    <row r="11" spans="1:21" ht="15" thickBot="1" x14ac:dyDescent="0.35">
      <c r="B11" s="29" t="e">
        <f>B10*12</f>
        <v>#REF!</v>
      </c>
      <c r="C11" s="31" t="s">
        <v>12</v>
      </c>
      <c r="H11" s="27" t="s">
        <v>26</v>
      </c>
      <c r="J11" s="29">
        <v>198</v>
      </c>
    </row>
    <row r="12" spans="1:21" ht="15" thickBot="1" x14ac:dyDescent="0.35">
      <c r="B12" s="29" t="e">
        <f>B10/J5</f>
        <v>#REF!</v>
      </c>
      <c r="C12" s="31" t="s">
        <v>27</v>
      </c>
      <c r="H12" s="27" t="s">
        <v>28</v>
      </c>
      <c r="J12" s="38">
        <v>0</v>
      </c>
      <c r="M12" s="29">
        <f>J12</f>
        <v>0</v>
      </c>
      <c r="N12" s="31" t="s">
        <v>20</v>
      </c>
      <c r="O12" s="87"/>
    </row>
    <row r="13" spans="1:21" ht="15" thickBot="1" x14ac:dyDescent="0.35">
      <c r="H13" s="27" t="s">
        <v>29</v>
      </c>
      <c r="J13" s="91">
        <f>J21/2</f>
        <v>99</v>
      </c>
      <c r="M13" s="29">
        <f>J13</f>
        <v>99</v>
      </c>
      <c r="N13" s="31" t="s">
        <v>20</v>
      </c>
    </row>
    <row r="14" spans="1:21" ht="15" thickBot="1" x14ac:dyDescent="0.35">
      <c r="F14" s="35"/>
      <c r="H14" s="27" t="s">
        <v>30</v>
      </c>
      <c r="J14" s="29">
        <f>J6-M7-M8-M9-M10-J11-M12-M13-M23</f>
        <v>7983</v>
      </c>
      <c r="K14" s="101"/>
    </row>
    <row r="15" spans="1:21" ht="15" thickBot="1" x14ac:dyDescent="0.35">
      <c r="A15" s="178"/>
      <c r="B15" s="178"/>
      <c r="F15" s="35"/>
      <c r="H15" s="27" t="s">
        <v>31</v>
      </c>
      <c r="J15" s="29">
        <f>J14+J11+M7+M12+M8+M9+M13+M10+M23</f>
        <v>9000</v>
      </c>
    </row>
    <row r="16" spans="1:21" ht="15" thickBot="1" x14ac:dyDescent="0.35">
      <c r="A16" s="181" t="s">
        <v>183</v>
      </c>
      <c r="B16" s="179">
        <v>45689</v>
      </c>
      <c r="F16" s="35"/>
    </row>
    <row r="17" spans="1:21" ht="15" thickBot="1" x14ac:dyDescent="0.35">
      <c r="A17" s="181" t="s">
        <v>184</v>
      </c>
      <c r="B17" s="180" t="s">
        <v>185</v>
      </c>
      <c r="H17" s="27" t="s">
        <v>32</v>
      </c>
      <c r="J17" s="117" t="s">
        <v>33</v>
      </c>
      <c r="M17" s="29">
        <f>VLOOKUP(J17,TabMutuelle[],2,FALSE)</f>
        <v>30.4</v>
      </c>
      <c r="N17" s="31" t="s">
        <v>20</v>
      </c>
    </row>
    <row r="18" spans="1:21" ht="15" thickBot="1" x14ac:dyDescent="0.35">
      <c r="F18" s="35"/>
    </row>
    <row r="19" spans="1:21" ht="15" thickBot="1" x14ac:dyDescent="0.35">
      <c r="H19" s="27" t="s">
        <v>34</v>
      </c>
      <c r="J19" s="39">
        <v>0.1</v>
      </c>
      <c r="K19" s="35">
        <f>'BS . Avec prov'!E44*'1. Calcul Avec prov'!J19</f>
        <v>436.15392278509802</v>
      </c>
    </row>
    <row r="20" spans="1:21" ht="15" thickBot="1" x14ac:dyDescent="0.35"/>
    <row r="21" spans="1:21" ht="15" thickBot="1" x14ac:dyDescent="0.35">
      <c r="H21" s="27" t="s">
        <v>35</v>
      </c>
      <c r="J21" s="92">
        <f>11*J5</f>
        <v>198</v>
      </c>
    </row>
    <row r="22" spans="1:21" ht="15" thickBot="1" x14ac:dyDescent="0.35">
      <c r="M22" s="1"/>
      <c r="O22" s="85"/>
    </row>
    <row r="23" spans="1:21" ht="15" thickBot="1" x14ac:dyDescent="0.35">
      <c r="H23" s="27" t="s">
        <v>36</v>
      </c>
      <c r="J23" s="105" t="s">
        <v>33</v>
      </c>
      <c r="N23" s="31"/>
      <c r="O23" s="85"/>
    </row>
    <row r="24" spans="1:21" ht="15" thickBot="1" x14ac:dyDescent="0.35">
      <c r="B24" s="1"/>
      <c r="M24" s="31" t="s">
        <v>37</v>
      </c>
      <c r="N24" s="85"/>
    </row>
    <row r="25" spans="1:21" ht="15" thickBot="1" x14ac:dyDescent="0.35">
      <c r="H25" s="27" t="s">
        <v>38</v>
      </c>
      <c r="J25" s="156">
        <v>75101</v>
      </c>
      <c r="M25" s="87" t="e">
        <f>VLOOKUP(J25,#REF!,2,FALSE)</f>
        <v>#REF!</v>
      </c>
    </row>
    <row r="26" spans="1:21" x14ac:dyDescent="0.3">
      <c r="J26" s="152"/>
      <c r="M26" s="87" t="e">
        <f>VLOOKUP(J25,#REF!,3,FALSE)</f>
        <v>#REF!</v>
      </c>
    </row>
    <row r="27" spans="1:21" x14ac:dyDescent="0.3">
      <c r="J27" s="152"/>
      <c r="M27" t="e">
        <f>VLOOKUP(J25,#REF!,8,FALSE)</f>
        <v>#REF!</v>
      </c>
      <c r="N27" s="155" t="s">
        <v>39</v>
      </c>
      <c r="O27" s="86"/>
    </row>
    <row r="28" spans="1:21" x14ac:dyDescent="0.3">
      <c r="J28" s="153" t="s">
        <v>40</v>
      </c>
      <c r="K28" s="153"/>
      <c r="L28" s="153"/>
      <c r="M28" s="153"/>
      <c r="N28" s="153"/>
      <c r="O28" s="153"/>
    </row>
    <row r="29" spans="1:21" x14ac:dyDescent="0.3">
      <c r="J29" s="154" t="s">
        <v>41</v>
      </c>
    </row>
    <row r="31" spans="1:21" x14ac:dyDescent="0.3">
      <c r="U31" t="s">
        <v>10</v>
      </c>
    </row>
  </sheetData>
  <dataValidations count="4">
    <dataValidation type="decimal" errorStyle="warning" allowBlank="1" showInputMessage="1" showErrorMessage="1" errorTitle="TJM trop faible" error="Le TJM ne doit pas être inférieur à 290 € pour un cadre en forfait jour" sqref="J4" xr:uid="{00000000-0002-0000-0100-000000000000}">
      <formula1>290</formula1>
      <formula2>3000</formula2>
    </dataValidation>
    <dataValidation type="list" allowBlank="1" showInputMessage="1" showErrorMessage="1" sqref="J23" xr:uid="{00000000-0002-0000-0100-000001000000}">
      <formula1>"Oui,Non"</formula1>
    </dataValidation>
    <dataValidation operator="lessThan" allowBlank="1" showInputMessage="1" error="le TJM d'un CDD ne peut être inférieur à 250 €" prompt="le TJM d'un CDD ne peut être inférieur à 250 €" sqref="J10" xr:uid="{AA572F77-EE88-469D-B8FF-EEBBB96C2F8C}"/>
    <dataValidation type="list" allowBlank="1" showInputMessage="1" showErrorMessage="1" sqref="B17" xr:uid="{0C72955D-D4F6-41D4-A8F0-00B358C9DB19}">
      <formula1>"CDI CADRE,CDI NON-CADRE,CDD"</formula1>
    </dataValidation>
  </dataValidations>
  <hyperlinks>
    <hyperlink ref="J29" r:id="rId1" xr:uid="{36D5D1C4-CC02-42EF-85E2-3A063B5DA5DA}"/>
  </hyperlinks>
  <pageMargins left="0.7" right="0.7" top="0.75" bottom="0.75" header="0.3" footer="0.3"/>
  <pageSetup paperSize="9" orientation="portrait" r:id="rId2"/>
  <customProperties>
    <customPr name="OrphanNamesChecke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'BS . Avec prov'!$K$32:$K$33</xm:f>
          </x14:formula1>
          <xm:sqref>J17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80C9FF"/>
  </sheetPr>
  <dimension ref="A2:U34"/>
  <sheetViews>
    <sheetView showGridLines="0" zoomScale="180" zoomScaleNormal="180" workbookViewId="0">
      <selection activeCell="G27" sqref="G27"/>
    </sheetView>
  </sheetViews>
  <sheetFormatPr baseColWidth="10" defaultColWidth="8.5546875" defaultRowHeight="14.4" x14ac:dyDescent="0.3"/>
  <cols>
    <col min="1" max="1" width="18.109375" bestFit="1" customWidth="1"/>
    <col min="2" max="2" width="13.88671875" bestFit="1" customWidth="1"/>
    <col min="3" max="3" width="9.5546875" bestFit="1" customWidth="1"/>
    <col min="4" max="5" width="0" hidden="1" customWidth="1"/>
    <col min="6" max="6" width="8.5546875" hidden="1" customWidth="1"/>
    <col min="8" max="8" width="24.5546875" bestFit="1" customWidth="1"/>
    <col min="10" max="10" width="17" customWidth="1"/>
    <col min="13" max="13" width="10.5546875" bestFit="1" customWidth="1"/>
  </cols>
  <sheetData>
    <row r="2" spans="1:21" x14ac:dyDescent="0.3">
      <c r="U2" s="26">
        <v>21.67</v>
      </c>
    </row>
    <row r="3" spans="1:21" ht="15" thickBot="1" x14ac:dyDescent="0.35"/>
    <row r="4" spans="1:21" ht="15" thickBot="1" x14ac:dyDescent="0.35">
      <c r="A4" s="27" t="s">
        <v>11</v>
      </c>
      <c r="B4" s="32">
        <v>66925.736689462559</v>
      </c>
      <c r="C4" s="31" t="s">
        <v>12</v>
      </c>
      <c r="H4" s="27" t="s">
        <v>13</v>
      </c>
      <c r="J4" s="30">
        <f>'1. Calcul Avec prov'!J4</f>
        <v>500</v>
      </c>
    </row>
    <row r="5" spans="1:21" ht="15" thickBot="1" x14ac:dyDescent="0.35">
      <c r="A5" s="27" t="s">
        <v>11</v>
      </c>
      <c r="B5" s="32">
        <f>B4/12</f>
        <v>5577.1447241218802</v>
      </c>
      <c r="C5" s="31" t="s">
        <v>14</v>
      </c>
      <c r="F5" s="25"/>
      <c r="H5" s="27" t="s">
        <v>15</v>
      </c>
      <c r="J5" s="30">
        <f>'1. Calcul Avec prov'!J5</f>
        <v>18</v>
      </c>
    </row>
    <row r="6" spans="1:21" ht="15" thickBot="1" x14ac:dyDescent="0.35">
      <c r="A6" s="27" t="s">
        <v>16</v>
      </c>
      <c r="B6" s="32">
        <f>'BS . Sans prov'!E43</f>
        <v>1274.8125444506602</v>
      </c>
      <c r="H6" s="27" t="s">
        <v>17</v>
      </c>
      <c r="J6" s="30">
        <f>J4*J5</f>
        <v>9000</v>
      </c>
      <c r="K6" s="31" t="s">
        <v>14</v>
      </c>
      <c r="M6" s="29">
        <f>J6*12</f>
        <v>108000</v>
      </c>
      <c r="N6" s="31" t="s">
        <v>12</v>
      </c>
    </row>
    <row r="7" spans="1:21" ht="15" thickBot="1" x14ac:dyDescent="0.35">
      <c r="A7" s="27" t="s">
        <v>18</v>
      </c>
      <c r="B7" s="32" t="e">
        <f>'BS . Sans prov'!G43</f>
        <v>#REF!</v>
      </c>
      <c r="H7" s="27" t="s">
        <v>19</v>
      </c>
      <c r="J7" s="123">
        <f>'1. Calcul Avec prov'!J7</f>
        <v>0.06</v>
      </c>
      <c r="M7" s="29">
        <f>J6*J7</f>
        <v>540</v>
      </c>
      <c r="N7" s="31" t="s">
        <v>20</v>
      </c>
    </row>
    <row r="8" spans="1:21" ht="15" thickBot="1" x14ac:dyDescent="0.35">
      <c r="H8" s="27" t="s">
        <v>21</v>
      </c>
      <c r="J8" s="123">
        <v>0</v>
      </c>
      <c r="M8" s="29">
        <f>J8*J6</f>
        <v>0</v>
      </c>
      <c r="N8" s="31" t="s">
        <v>20</v>
      </c>
    </row>
    <row r="9" spans="1:21" ht="15" thickBot="1" x14ac:dyDescent="0.35">
      <c r="A9" s="27" t="s">
        <v>22</v>
      </c>
      <c r="B9" s="33">
        <f>'BS . Sans prov'!E45</f>
        <v>4203.332179671218</v>
      </c>
      <c r="H9" s="27" t="s">
        <v>23</v>
      </c>
      <c r="J9" s="28">
        <v>0</v>
      </c>
      <c r="M9" s="29">
        <f>J6*J9</f>
        <v>0</v>
      </c>
      <c r="N9" s="31" t="s">
        <v>20</v>
      </c>
    </row>
    <row r="10" spans="1:21" ht="15" thickBot="1" x14ac:dyDescent="0.35">
      <c r="A10" s="27" t="s">
        <v>24</v>
      </c>
      <c r="B10" s="33" t="e">
        <f>B5+B7+M7+J10+M8+M11+M9+M12+M22</f>
        <v>#REF!</v>
      </c>
      <c r="C10" s="31" t="s">
        <v>14</v>
      </c>
      <c r="H10" s="27" t="s">
        <v>26</v>
      </c>
      <c r="J10" s="30">
        <v>198</v>
      </c>
    </row>
    <row r="11" spans="1:21" ht="15" thickBot="1" x14ac:dyDescent="0.35">
      <c r="B11" s="29" t="e">
        <f>B10*12</f>
        <v>#REF!</v>
      </c>
      <c r="C11" s="31" t="s">
        <v>12</v>
      </c>
      <c r="H11" s="27" t="s">
        <v>28</v>
      </c>
      <c r="J11" s="91">
        <f>'1. Calcul Avec prov'!J12</f>
        <v>0</v>
      </c>
      <c r="M11" s="29">
        <f>J11</f>
        <v>0</v>
      </c>
      <c r="N11" s="31" t="s">
        <v>20</v>
      </c>
    </row>
    <row r="12" spans="1:21" ht="15" thickBot="1" x14ac:dyDescent="0.35">
      <c r="B12" s="29" t="e">
        <f>B10/J5</f>
        <v>#REF!</v>
      </c>
      <c r="C12" s="31" t="s">
        <v>27</v>
      </c>
      <c r="H12" s="27" t="s">
        <v>29</v>
      </c>
      <c r="J12" s="91">
        <f>J20/2</f>
        <v>99</v>
      </c>
      <c r="M12" s="29">
        <f>J12</f>
        <v>99</v>
      </c>
      <c r="N12" s="31" t="s">
        <v>20</v>
      </c>
    </row>
    <row r="13" spans="1:21" ht="15" thickBot="1" x14ac:dyDescent="0.35">
      <c r="H13" s="27" t="s">
        <v>30</v>
      </c>
      <c r="J13" s="29">
        <f>J6-M7-M8-J10-M11-M9-M12-M22</f>
        <v>8163</v>
      </c>
    </row>
    <row r="14" spans="1:21" ht="15" thickBot="1" x14ac:dyDescent="0.35">
      <c r="F14" s="35"/>
      <c r="H14" s="27" t="s">
        <v>31</v>
      </c>
      <c r="J14" s="29">
        <f>J13+J10+M7+M11+M8+M9+M12+M22</f>
        <v>9000</v>
      </c>
    </row>
    <row r="15" spans="1:21" ht="15" thickBot="1" x14ac:dyDescent="0.35">
      <c r="F15" s="35"/>
    </row>
    <row r="16" spans="1:21" ht="15" thickBot="1" x14ac:dyDescent="0.35">
      <c r="F16" s="35"/>
      <c r="H16" s="27" t="s">
        <v>32</v>
      </c>
      <c r="J16" s="118" t="str">
        <f>'1. Calcul Avec prov'!J17</f>
        <v>Oui</v>
      </c>
      <c r="M16" s="29">
        <f>VLOOKUP(J16,TabMutuelle[],2,FALSE)</f>
        <v>30.4</v>
      </c>
      <c r="N16" s="31" t="s">
        <v>20</v>
      </c>
    </row>
    <row r="17" spans="6:14" ht="15" thickBot="1" x14ac:dyDescent="0.35"/>
    <row r="18" spans="6:14" ht="15" thickBot="1" x14ac:dyDescent="0.35">
      <c r="F18" s="35"/>
      <c r="H18" s="27" t="s">
        <v>34</v>
      </c>
      <c r="J18" s="28">
        <f>'1. Calcul Avec prov'!J19</f>
        <v>0.1</v>
      </c>
      <c r="K18" s="35">
        <f>'BS . Sans prov'!E45*'2. Calcul Sans prov'!J18</f>
        <v>420.33321796712181</v>
      </c>
    </row>
    <row r="19" spans="6:14" ht="15" thickBot="1" x14ac:dyDescent="0.35"/>
    <row r="20" spans="6:14" ht="15" thickBot="1" x14ac:dyDescent="0.35">
      <c r="H20" s="27" t="s">
        <v>35</v>
      </c>
      <c r="J20" s="29">
        <f>'1. Calcul Avec prov'!J21</f>
        <v>198</v>
      </c>
    </row>
    <row r="21" spans="6:14" ht="15" thickBot="1" x14ac:dyDescent="0.35"/>
    <row r="22" spans="6:14" ht="15" thickBot="1" x14ac:dyDescent="0.35">
      <c r="H22" s="27" t="s">
        <v>36</v>
      </c>
      <c r="J22" s="106" t="str">
        <f>'1. Calcul Avec prov'!J23</f>
        <v>Oui</v>
      </c>
      <c r="N22" s="31"/>
    </row>
    <row r="34" spans="21:21" x14ac:dyDescent="0.3">
      <c r="U34" t="s">
        <v>10</v>
      </c>
    </row>
  </sheetData>
  <pageMargins left="0.7" right="0.7" top="0.75" bottom="0.75" header="0.3" footer="0.3"/>
  <pageSetup paperSize="9" orientation="portrait" r:id="rId1"/>
  <customProperties>
    <customPr name="OrphanNamesChecke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TJM">
                <anchor moveWithCells="1" sizeWithCells="1">
                  <from>
                    <xdr:col>12</xdr:col>
                    <xdr:colOff>182880</xdr:colOff>
                    <xdr:row>1</xdr:row>
                    <xdr:rowOff>38100</xdr:rowOff>
                  </from>
                  <to>
                    <xdr:col>14</xdr:col>
                    <xdr:colOff>342900</xdr:colOff>
                    <xdr:row>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'BS . Avec prov'!$K$32:$K$33</xm:f>
          </x14:formula1>
          <xm:sqref>J16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tabColor theme="7"/>
    <pageSetUpPr fitToPage="1"/>
  </sheetPr>
  <dimension ref="A1:BK39"/>
  <sheetViews>
    <sheetView showGridLines="0" zoomScale="170" zoomScaleNormal="170" workbookViewId="0">
      <selection activeCell="F38" sqref="F38"/>
    </sheetView>
  </sheetViews>
  <sheetFormatPr baseColWidth="10" defaultColWidth="10.88671875" defaultRowHeight="14.4" x14ac:dyDescent="0.3"/>
  <cols>
    <col min="1" max="1" width="1.44140625" style="40" customWidth="1"/>
    <col min="2" max="2" width="44.5546875" style="40" customWidth="1"/>
    <col min="3" max="3" width="20.44140625" style="40" bestFit="1" customWidth="1"/>
    <col min="4" max="4" width="16" style="40" customWidth="1"/>
    <col min="5" max="5" width="16.44140625" style="40" customWidth="1"/>
    <col min="6" max="6" width="26" style="40" customWidth="1"/>
    <col min="7" max="7" width="13.5546875" style="40" customWidth="1"/>
    <col min="8" max="16384" width="10.88671875" style="40"/>
  </cols>
  <sheetData>
    <row r="1" spans="1:6" ht="57.6" customHeight="1" x14ac:dyDescent="0.3">
      <c r="F1" s="40" t="s">
        <v>10</v>
      </c>
    </row>
    <row r="2" spans="1:6" x14ac:dyDescent="0.3">
      <c r="B2" s="158" t="s">
        <v>183</v>
      </c>
      <c r="C2" s="159">
        <f>'1. Calcul Avec prov'!B16</f>
        <v>45689</v>
      </c>
    </row>
    <row r="3" spans="1:6" x14ac:dyDescent="0.3">
      <c r="B3" s="158" t="s">
        <v>184</v>
      </c>
      <c r="C3" s="121" t="str">
        <f>'1. Calcul Avec prov'!B17</f>
        <v>CDI CADRE</v>
      </c>
    </row>
    <row r="4" spans="1:6" ht="15" customHeight="1" x14ac:dyDescent="0.3">
      <c r="B4" s="197" t="s">
        <v>186</v>
      </c>
      <c r="C4" s="197"/>
      <c r="D4" s="197"/>
      <c r="E4" s="197"/>
    </row>
    <row r="5" spans="1:6" ht="23.4" customHeight="1" x14ac:dyDescent="0.3">
      <c r="B5" s="198"/>
      <c r="C5" s="198"/>
      <c r="D5" s="198"/>
      <c r="E5" s="198"/>
    </row>
    <row r="6" spans="1:6" ht="25.35" customHeight="1" x14ac:dyDescent="0.3">
      <c r="B6" s="193" t="s">
        <v>187</v>
      </c>
      <c r="C6" s="194"/>
      <c r="D6" s="82"/>
      <c r="E6" s="131" t="s">
        <v>42</v>
      </c>
    </row>
    <row r="7" spans="1:6" x14ac:dyDescent="0.3">
      <c r="B7" s="41" t="s">
        <v>13</v>
      </c>
      <c r="C7" s="199">
        <f>'1. Calcul Avec prov'!J4</f>
        <v>500</v>
      </c>
      <c r="D7" s="199"/>
      <c r="E7" s="200"/>
    </row>
    <row r="8" spans="1:6" x14ac:dyDescent="0.3">
      <c r="B8" s="42" t="s">
        <v>43</v>
      </c>
      <c r="C8" s="201">
        <f>'1. Calcul Avec prov'!J5</f>
        <v>18</v>
      </c>
      <c r="D8" s="201"/>
      <c r="E8" s="202"/>
    </row>
    <row r="9" spans="1:6" x14ac:dyDescent="0.3">
      <c r="A9" s="43"/>
      <c r="B9" s="163" t="s">
        <v>44</v>
      </c>
      <c r="C9" s="164"/>
      <c r="D9" s="164"/>
      <c r="E9" s="165">
        <f>'1. Calcul Avec prov'!J6</f>
        <v>9000</v>
      </c>
    </row>
    <row r="10" spans="1:6" x14ac:dyDescent="0.3">
      <c r="B10" s="44" t="s">
        <v>19</v>
      </c>
      <c r="C10" s="45"/>
      <c r="D10" s="46"/>
      <c r="E10" s="125">
        <f>'1. Calcul Avec prov'!M7+'1. Calcul Avec prov'!M23</f>
        <v>540</v>
      </c>
    </row>
    <row r="11" spans="1:6" x14ac:dyDescent="0.3">
      <c r="B11" s="89" t="s">
        <v>45</v>
      </c>
      <c r="D11" s="195">
        <f>'1. Calcul Avec prov'!J7</f>
        <v>0.06</v>
      </c>
      <c r="E11" s="196"/>
    </row>
    <row r="12" spans="1:6" x14ac:dyDescent="0.3">
      <c r="B12" s="89" t="s">
        <v>36</v>
      </c>
      <c r="D12" s="103"/>
      <c r="E12" s="104" t="str">
        <f>'1. Calcul Avec prov'!J23</f>
        <v>Oui</v>
      </c>
    </row>
    <row r="13" spans="1:6" x14ac:dyDescent="0.3">
      <c r="A13" s="43"/>
      <c r="B13" s="48" t="s">
        <v>46</v>
      </c>
      <c r="C13" s="47"/>
      <c r="D13" s="46"/>
      <c r="E13" s="125">
        <f>'1. Calcul Avec prov'!J11</f>
        <v>198</v>
      </c>
    </row>
    <row r="14" spans="1:6" x14ac:dyDescent="0.3">
      <c r="B14" s="48"/>
      <c r="E14" s="125"/>
    </row>
    <row r="15" spans="1:6" x14ac:dyDescent="0.3">
      <c r="B15" s="48" t="s">
        <v>32</v>
      </c>
      <c r="E15" s="160" t="str">
        <f>'1. Calcul Avec prov'!J17</f>
        <v>Oui</v>
      </c>
    </row>
    <row r="16" spans="1:6" x14ac:dyDescent="0.3">
      <c r="B16" s="161" t="s">
        <v>188</v>
      </c>
      <c r="E16" s="125">
        <f>'1. Calcul Avec prov'!M17</f>
        <v>30.4</v>
      </c>
    </row>
    <row r="17" spans="1:63" x14ac:dyDescent="0.3">
      <c r="B17" s="48"/>
      <c r="E17" s="125"/>
    </row>
    <row r="18" spans="1:63" x14ac:dyDescent="0.3">
      <c r="A18" s="43"/>
      <c r="B18" s="48" t="s">
        <v>28</v>
      </c>
      <c r="D18" s="83"/>
      <c r="E18" s="125">
        <f>'1. Calcul Avec prov'!M12</f>
        <v>0</v>
      </c>
    </row>
    <row r="19" spans="1:63" x14ac:dyDescent="0.3">
      <c r="A19" s="162"/>
      <c r="B19" s="161" t="s">
        <v>189</v>
      </c>
      <c r="D19" s="83"/>
      <c r="E19" s="125"/>
    </row>
    <row r="20" spans="1:63" x14ac:dyDescent="0.3">
      <c r="B20" s="48"/>
      <c r="E20" s="125"/>
    </row>
    <row r="21" spans="1:63" x14ac:dyDescent="0.3">
      <c r="A21" s="43"/>
      <c r="B21" s="48" t="s">
        <v>47</v>
      </c>
      <c r="D21" s="83"/>
      <c r="E21" s="125">
        <f>'1. Calcul Avec prov'!J13</f>
        <v>99</v>
      </c>
    </row>
    <row r="22" spans="1:63" x14ac:dyDescent="0.3">
      <c r="B22" s="48"/>
      <c r="E22" s="125"/>
    </row>
    <row r="23" spans="1:63" x14ac:dyDescent="0.3">
      <c r="A23" s="43"/>
      <c r="B23" s="138" t="s">
        <v>48</v>
      </c>
      <c r="D23" s="83"/>
      <c r="E23" s="126">
        <f>'1. Calcul Avec prov'!M8+'1. Calcul Avec prov'!M9+'1. Calcul Avec prov'!M10</f>
        <v>180</v>
      </c>
    </row>
    <row r="24" spans="1:63" x14ac:dyDescent="0.3">
      <c r="A24" s="43"/>
      <c r="B24" s="89" t="s">
        <v>49</v>
      </c>
      <c r="E24" s="127">
        <f>'1. Calcul Avec prov'!J8+'1. Calcul Avec prov'!J9+'1. Calcul Avec prov'!J10</f>
        <v>0.02</v>
      </c>
    </row>
    <row r="25" spans="1:63" ht="20.399999999999999" customHeight="1" x14ac:dyDescent="0.3">
      <c r="A25" s="43"/>
      <c r="B25" s="138" t="s">
        <v>30</v>
      </c>
      <c r="D25" s="83"/>
      <c r="E25" s="49">
        <f>'1. Calcul Avec prov'!J14</f>
        <v>7983</v>
      </c>
    </row>
    <row r="26" spans="1:63" s="139" customFormat="1" x14ac:dyDescent="0.3">
      <c r="B26" s="166" t="s">
        <v>190</v>
      </c>
      <c r="C26" s="167"/>
      <c r="D26" s="168"/>
      <c r="E26" s="169">
        <f>'1. Calcul Avec prov'!B5</f>
        <v>5453.2040724143926</v>
      </c>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row>
    <row r="27" spans="1:63" s="141" customFormat="1" ht="18.600000000000001" customHeight="1" x14ac:dyDescent="0.3">
      <c r="A27" s="140"/>
      <c r="B27" s="134" t="s">
        <v>50</v>
      </c>
      <c r="C27" s="148"/>
      <c r="D27" s="148"/>
      <c r="E27" s="128" t="e">
        <f>'BS . Avec prov'!G43</f>
        <v>#REF!</v>
      </c>
      <c r="F27" s="40"/>
      <c r="G27" s="40"/>
      <c r="H27" s="40"/>
      <c r="I27" s="40"/>
      <c r="J27" s="40"/>
      <c r="K27" s="40"/>
      <c r="L27" s="40"/>
      <c r="M27" s="40"/>
      <c r="N27" s="40"/>
      <c r="O27" s="40"/>
      <c r="P27" s="40"/>
      <c r="Q27" s="40"/>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row>
    <row r="28" spans="1:63" ht="13.2" customHeight="1" x14ac:dyDescent="0.3">
      <c r="B28" s="171" t="s">
        <v>51</v>
      </c>
      <c r="C28" s="170"/>
      <c r="D28" s="172"/>
      <c r="E28" s="173">
        <f>'BS . Avec prov'!E47</f>
        <v>4104.8850913125525</v>
      </c>
    </row>
    <row r="29" spans="1:63" x14ac:dyDescent="0.3">
      <c r="A29" s="43"/>
      <c r="B29" s="89" t="s">
        <v>52</v>
      </c>
      <c r="C29" s="90"/>
      <c r="D29" s="129"/>
      <c r="E29" s="132">
        <f>'BS . Avec prov'!E43+'3. Template'!E21</f>
        <v>1348.3189811018394</v>
      </c>
    </row>
    <row r="30" spans="1:63" x14ac:dyDescent="0.3">
      <c r="B30" s="47" t="s">
        <v>53</v>
      </c>
      <c r="C30" s="90"/>
      <c r="D30" s="129"/>
      <c r="E30" s="133">
        <f>'BS . Avec prov'!E48+'BS . Avec prov'!E49</f>
        <v>198</v>
      </c>
    </row>
    <row r="31" spans="1:63" x14ac:dyDescent="0.3">
      <c r="A31" s="90"/>
      <c r="B31" s="171" t="s">
        <v>54</v>
      </c>
      <c r="C31" s="174"/>
      <c r="D31" s="172"/>
      <c r="E31" s="173">
        <f>E28+E30</f>
        <v>4302.8850913125525</v>
      </c>
    </row>
    <row r="32" spans="1:63" x14ac:dyDescent="0.3">
      <c r="A32" s="90"/>
      <c r="B32" s="135" t="s">
        <v>55</v>
      </c>
      <c r="C32" s="136"/>
      <c r="D32" s="130"/>
      <c r="E32" s="137">
        <f>'BS . Avec prov'!E52</f>
        <v>98.447088358665496</v>
      </c>
    </row>
    <row r="33" spans="2:5" x14ac:dyDescent="0.3">
      <c r="B33" s="142"/>
      <c r="C33" s="143"/>
      <c r="D33" s="144"/>
      <c r="E33" s="143"/>
    </row>
    <row r="34" spans="2:5" x14ac:dyDescent="0.3">
      <c r="B34" s="145" t="s">
        <v>56</v>
      </c>
      <c r="C34" s="146"/>
      <c r="D34" s="147"/>
      <c r="E34" s="149">
        <f>(E32+E31)/(E9-E10-E13)</f>
        <v>0.53271994428361391</v>
      </c>
    </row>
    <row r="35" spans="2:5" ht="15" thickBot="1" x14ac:dyDescent="0.35">
      <c r="B35" s="175"/>
      <c r="C35" s="176"/>
      <c r="D35" s="162"/>
      <c r="E35" s="177"/>
    </row>
    <row r="36" spans="2:5" ht="27" customHeight="1" thickBot="1" x14ac:dyDescent="0.35">
      <c r="B36" s="190" t="s">
        <v>191</v>
      </c>
      <c r="C36" s="191"/>
      <c r="D36" s="191"/>
      <c r="E36" s="192"/>
    </row>
    <row r="37" spans="2:5" ht="15" customHeight="1" x14ac:dyDescent="0.3"/>
    <row r="39" spans="2:5" x14ac:dyDescent="0.3">
      <c r="B39"/>
    </row>
  </sheetData>
  <mergeCells count="6">
    <mergeCell ref="B36:E36"/>
    <mergeCell ref="B6:C6"/>
    <mergeCell ref="D11:E11"/>
    <mergeCell ref="B4:E5"/>
    <mergeCell ref="C7:E7"/>
    <mergeCell ref="C8:E8"/>
  </mergeCells>
  <pageMargins left="1" right="1" top="1" bottom="1" header="0.5" footer="0.5"/>
  <pageSetup scale="67" orientation="portrait" r:id="rId1"/>
  <customProperties>
    <customPr name="OrphanNamesChecke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43905-15E9-4E72-B655-3DB38648C623}">
  <sheetPr codeName="Feuil3">
    <tabColor theme="2" tint="-9.9978637043366805E-2"/>
  </sheetPr>
  <dimension ref="A1:B19"/>
  <sheetViews>
    <sheetView zoomScale="180" zoomScaleNormal="180" workbookViewId="0">
      <selection activeCell="E19" sqref="E19"/>
    </sheetView>
  </sheetViews>
  <sheetFormatPr baseColWidth="10" defaultRowHeight="14.4" x14ac:dyDescent="0.3"/>
  <cols>
    <col min="1" max="1" width="54" bestFit="1" customWidth="1"/>
    <col min="2" max="2" width="115.77734375" bestFit="1" customWidth="1"/>
  </cols>
  <sheetData>
    <row r="1" spans="1:2" ht="15" thickBot="1" x14ac:dyDescent="0.35"/>
    <row r="2" spans="1:2" ht="15" thickBot="1" x14ac:dyDescent="0.35">
      <c r="A2" s="182" t="s">
        <v>192</v>
      </c>
      <c r="B2" s="183" t="s">
        <v>193</v>
      </c>
    </row>
    <row r="3" spans="1:2" ht="15" thickBot="1" x14ac:dyDescent="0.35">
      <c r="A3" s="182" t="s">
        <v>194</v>
      </c>
      <c r="B3" s="184" t="s">
        <v>195</v>
      </c>
    </row>
    <row r="4" spans="1:2" ht="15" thickBot="1" x14ac:dyDescent="0.35">
      <c r="A4" s="182" t="s">
        <v>196</v>
      </c>
      <c r="B4" s="184" t="s">
        <v>197</v>
      </c>
    </row>
    <row r="5" spans="1:2" ht="29.4" thickBot="1" x14ac:dyDescent="0.35">
      <c r="A5" s="182" t="s">
        <v>19</v>
      </c>
      <c r="B5" s="185" t="s">
        <v>198</v>
      </c>
    </row>
    <row r="6" spans="1:2" ht="15" thickBot="1" x14ac:dyDescent="0.35">
      <c r="A6" s="182" t="s">
        <v>36</v>
      </c>
      <c r="B6" s="184" t="s">
        <v>199</v>
      </c>
    </row>
    <row r="7" spans="1:2" ht="43.8" thickBot="1" x14ac:dyDescent="0.35">
      <c r="A7" s="182" t="s">
        <v>200</v>
      </c>
      <c r="B7" s="185" t="s">
        <v>201</v>
      </c>
    </row>
    <row r="8" spans="1:2" ht="43.8" thickBot="1" x14ac:dyDescent="0.35">
      <c r="A8" s="182" t="s">
        <v>28</v>
      </c>
      <c r="B8" s="185" t="s">
        <v>202</v>
      </c>
    </row>
    <row r="9" spans="1:2" ht="29.4" thickBot="1" x14ac:dyDescent="0.35">
      <c r="A9" s="182" t="s">
        <v>203</v>
      </c>
      <c r="B9" s="185" t="s">
        <v>204</v>
      </c>
    </row>
    <row r="10" spans="1:2" x14ac:dyDescent="0.3">
      <c r="A10" s="203" t="s">
        <v>205</v>
      </c>
      <c r="B10" s="186" t="s">
        <v>206</v>
      </c>
    </row>
    <row r="11" spans="1:2" x14ac:dyDescent="0.3">
      <c r="A11" s="204"/>
      <c r="B11" s="187" t="s">
        <v>207</v>
      </c>
    </row>
    <row r="12" spans="1:2" ht="15" thickBot="1" x14ac:dyDescent="0.35">
      <c r="A12" s="205"/>
      <c r="B12" s="188" t="s">
        <v>208</v>
      </c>
    </row>
    <row r="13" spans="1:2" ht="29.4" thickBot="1" x14ac:dyDescent="0.35">
      <c r="A13" s="182" t="s">
        <v>30</v>
      </c>
      <c r="B13" s="185" t="s">
        <v>209</v>
      </c>
    </row>
    <row r="14" spans="1:2" x14ac:dyDescent="0.3">
      <c r="A14" s="203" t="s">
        <v>210</v>
      </c>
      <c r="B14" s="186" t="s">
        <v>219</v>
      </c>
    </row>
    <row r="15" spans="1:2" ht="29.4" thickBot="1" x14ac:dyDescent="0.35">
      <c r="A15" s="205"/>
      <c r="B15" s="188" t="s">
        <v>211</v>
      </c>
    </row>
    <row r="16" spans="1:2" ht="15" thickBot="1" x14ac:dyDescent="0.35">
      <c r="A16" s="182" t="s">
        <v>212</v>
      </c>
      <c r="B16" s="184" t="s">
        <v>213</v>
      </c>
    </row>
    <row r="17" spans="1:2" ht="15" thickBot="1" x14ac:dyDescent="0.35">
      <c r="A17" s="182" t="s">
        <v>214</v>
      </c>
      <c r="B17" s="184" t="s">
        <v>215</v>
      </c>
    </row>
    <row r="18" spans="1:2" ht="15" thickBot="1" x14ac:dyDescent="0.35">
      <c r="A18" s="182" t="s">
        <v>54</v>
      </c>
      <c r="B18" s="184" t="s">
        <v>216</v>
      </c>
    </row>
    <row r="19" spans="1:2" ht="29.4" thickBot="1" x14ac:dyDescent="0.35">
      <c r="A19" s="182" t="s">
        <v>217</v>
      </c>
      <c r="B19" s="189" t="s">
        <v>218</v>
      </c>
    </row>
  </sheetData>
  <mergeCells count="2">
    <mergeCell ref="A10:A12"/>
    <mergeCell ref="A14:A1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CC99"/>
  </sheetPr>
  <dimension ref="A1:Z64"/>
  <sheetViews>
    <sheetView showGridLines="0" zoomScale="140" zoomScaleNormal="140" workbookViewId="0">
      <selection activeCell="O23" sqref="O23"/>
    </sheetView>
  </sheetViews>
  <sheetFormatPr baseColWidth="10" defaultColWidth="8.5546875" defaultRowHeight="14.4" x14ac:dyDescent="0.3"/>
  <cols>
    <col min="1" max="1" width="7" customWidth="1"/>
    <col min="2" max="2" width="42.44140625" customWidth="1"/>
    <col min="3" max="4" width="9.44140625" bestFit="1" customWidth="1"/>
    <col min="5" max="5" width="11.44140625" bestFit="1" customWidth="1"/>
    <col min="6" max="6" width="8.44140625" customWidth="1"/>
    <col min="7" max="7" width="10.44140625" customWidth="1"/>
    <col min="9" max="9" width="27.5546875" hidden="1" customWidth="1"/>
    <col min="10" max="10" width="11.5546875" hidden="1" customWidth="1"/>
    <col min="11" max="11" width="17.44140625" hidden="1" customWidth="1"/>
    <col min="12" max="13" width="12" hidden="1" customWidth="1"/>
    <col min="14" max="14" width="12.5546875" hidden="1" customWidth="1"/>
    <col min="15" max="15" width="12.5546875" customWidth="1"/>
    <col min="16" max="16" width="11.5546875" customWidth="1"/>
    <col min="17" max="17" width="12" customWidth="1"/>
    <col min="18" max="18" width="17" customWidth="1"/>
    <col min="19" max="19" width="9.5546875" customWidth="1"/>
    <col min="20" max="20" width="12" customWidth="1"/>
    <col min="21" max="21" width="12.5546875" customWidth="1"/>
    <col min="22" max="22" width="9.5546875" customWidth="1"/>
    <col min="23" max="23" width="27.44140625" bestFit="1" customWidth="1"/>
    <col min="24" max="24" width="9" bestFit="1" customWidth="1"/>
  </cols>
  <sheetData>
    <row r="1" spans="1:26" x14ac:dyDescent="0.3">
      <c r="A1" s="211" t="s">
        <v>57</v>
      </c>
      <c r="B1" s="212"/>
      <c r="C1" s="212"/>
      <c r="D1" s="212"/>
      <c r="E1" s="212"/>
      <c r="F1" s="212"/>
      <c r="G1" s="212"/>
    </row>
    <row r="2" spans="1:26" x14ac:dyDescent="0.3">
      <c r="A2" t="s">
        <v>58</v>
      </c>
      <c r="C2" s="100">
        <v>11.88</v>
      </c>
      <c r="G2" s="1"/>
      <c r="J2" s="99"/>
    </row>
    <row r="3" spans="1:26" x14ac:dyDescent="0.3">
      <c r="C3" s="211" t="s">
        <v>59</v>
      </c>
      <c r="D3" s="212"/>
      <c r="E3" s="212"/>
      <c r="F3" s="212"/>
      <c r="G3" s="213"/>
    </row>
    <row r="4" spans="1:26" ht="28.8" x14ac:dyDescent="0.3">
      <c r="A4" s="2" t="s">
        <v>60</v>
      </c>
      <c r="B4" s="2" t="s">
        <v>61</v>
      </c>
      <c r="C4" s="2" t="s">
        <v>62</v>
      </c>
      <c r="D4" s="2" t="s">
        <v>63</v>
      </c>
      <c r="E4" s="2" t="s">
        <v>64</v>
      </c>
      <c r="F4" s="2"/>
      <c r="G4" s="2"/>
    </row>
    <row r="5" spans="1:26" x14ac:dyDescent="0.3">
      <c r="A5" s="3"/>
      <c r="B5" s="8" t="s">
        <v>65</v>
      </c>
      <c r="C5" s="81">
        <f>'1. Calcul Avec prov'!J5</f>
        <v>18</v>
      </c>
      <c r="D5" s="60">
        <f>+E5/C5</f>
        <v>302.95578180079957</v>
      </c>
      <c r="E5" s="17">
        <f>'1. Calcul Avec prov'!B5</f>
        <v>5453.2040724143926</v>
      </c>
      <c r="F5" s="17"/>
      <c r="G5" s="8" t="s">
        <v>66</v>
      </c>
      <c r="W5" s="3" t="s">
        <v>178</v>
      </c>
      <c r="X5" s="4">
        <v>216</v>
      </c>
      <c r="Y5" s="4"/>
      <c r="Z5" s="5" t="s">
        <v>66</v>
      </c>
    </row>
    <row r="6" spans="1:26" x14ac:dyDescent="0.3">
      <c r="A6" s="3"/>
      <c r="B6" s="3" t="s">
        <v>67</v>
      </c>
      <c r="C6" s="80">
        <f>'1. Calcul Avec prov'!J5</f>
        <v>18</v>
      </c>
      <c r="D6" s="4">
        <f>(X11*0.85)/1.1/1.05</f>
        <v>132.46753246753246</v>
      </c>
      <c r="E6" s="4">
        <f>+C6*D6</f>
        <v>2384.4155844155844</v>
      </c>
      <c r="F6" s="4"/>
      <c r="G6" s="5"/>
      <c r="W6" s="3" t="s">
        <v>179</v>
      </c>
      <c r="X6" s="4">
        <v>3925</v>
      </c>
      <c r="Y6" s="4"/>
      <c r="Z6" s="5" t="s">
        <v>66</v>
      </c>
    </row>
    <row r="7" spans="1:26" x14ac:dyDescent="0.3">
      <c r="A7" s="3"/>
      <c r="B7" s="3" t="s">
        <v>68</v>
      </c>
      <c r="C7" s="80">
        <f>'1. Calcul Avec prov'!J5</f>
        <v>18</v>
      </c>
      <c r="D7" s="4">
        <f>(D5/1.1/1.05)-D6</f>
        <v>129.83184571497793</v>
      </c>
      <c r="E7" s="4">
        <f>+C7*D7</f>
        <v>2336.973222869603</v>
      </c>
      <c r="F7" s="4"/>
      <c r="G7" s="5"/>
      <c r="W7" s="3" t="s">
        <v>69</v>
      </c>
      <c r="X7" s="4">
        <f>+IF(E10&gt;X6,X6,E10)</f>
        <v>3925</v>
      </c>
      <c r="Y7" s="4"/>
      <c r="Z7" s="5" t="s">
        <v>66</v>
      </c>
    </row>
    <row r="8" spans="1:26" x14ac:dyDescent="0.3">
      <c r="A8" s="3"/>
      <c r="B8" s="3" t="s">
        <v>70</v>
      </c>
      <c r="C8" s="80">
        <f>'1. Calcul Avec prov'!J5</f>
        <v>18</v>
      </c>
      <c r="D8" s="4">
        <f>(D6+D7)*0.05</f>
        <v>13.114968909125521</v>
      </c>
      <c r="E8" s="4">
        <f>+C8*D8</f>
        <v>236.06944036425938</v>
      </c>
      <c r="F8" s="4"/>
      <c r="G8" s="5"/>
      <c r="H8" s="16"/>
      <c r="W8" s="3" t="s">
        <v>71</v>
      </c>
      <c r="X8" s="4">
        <f>IF($E$10&lt;$X$6,0,$E$10-$X$7)</f>
        <v>1528.2040724143917</v>
      </c>
      <c r="Y8" s="4"/>
      <c r="Z8" s="5" t="s">
        <v>66</v>
      </c>
    </row>
    <row r="9" spans="1:26" x14ac:dyDescent="0.3">
      <c r="A9" s="3"/>
      <c r="B9" s="3" t="s">
        <v>72</v>
      </c>
      <c r="C9" s="80">
        <f>'1. Calcul Avec prov'!J5</f>
        <v>18</v>
      </c>
      <c r="D9" s="4">
        <f>(D8+D6+D7)*0.1</f>
        <v>27.541434709163596</v>
      </c>
      <c r="E9" s="4">
        <f>+C9*D9</f>
        <v>495.7458247649447</v>
      </c>
      <c r="F9" s="4"/>
      <c r="G9" s="5"/>
      <c r="H9" s="16"/>
      <c r="W9" s="3" t="s">
        <v>181</v>
      </c>
      <c r="X9" s="4">
        <f>151.67*C2*2.4242</f>
        <v>4368.0195583200002</v>
      </c>
      <c r="Y9" s="4"/>
      <c r="Z9" s="5" t="s">
        <v>66</v>
      </c>
    </row>
    <row r="10" spans="1:26" ht="15" customHeight="1" x14ac:dyDescent="0.3">
      <c r="A10" s="3"/>
      <c r="B10" s="8" t="s">
        <v>73</v>
      </c>
      <c r="C10" s="81">
        <f>'1. Calcul Avec prov'!J5</f>
        <v>18</v>
      </c>
      <c r="D10" s="60">
        <f>SUM(D6:D9)</f>
        <v>302.95578180079951</v>
      </c>
      <c r="E10" s="60">
        <f>SUM(E6:E9)</f>
        <v>5453.2040724143917</v>
      </c>
      <c r="F10" s="17"/>
      <c r="G10" s="8" t="s">
        <v>66</v>
      </c>
      <c r="J10" s="99"/>
      <c r="W10" s="3" t="s">
        <v>176</v>
      </c>
      <c r="X10" s="4">
        <v>3269</v>
      </c>
      <c r="Y10" s="4"/>
      <c r="Z10" s="5" t="s">
        <v>66</v>
      </c>
    </row>
    <row r="11" spans="1:26" ht="24.6" x14ac:dyDescent="0.3">
      <c r="A11" s="69"/>
      <c r="B11" s="69"/>
      <c r="C11" s="70" t="s">
        <v>74</v>
      </c>
      <c r="D11" s="70" t="s">
        <v>75</v>
      </c>
      <c r="E11" s="70" t="s">
        <v>76</v>
      </c>
      <c r="F11" s="70" t="s">
        <v>77</v>
      </c>
      <c r="G11" s="70" t="s">
        <v>78</v>
      </c>
      <c r="W11" s="3" t="s">
        <v>177</v>
      </c>
      <c r="X11" s="4">
        <v>180</v>
      </c>
      <c r="Y11" s="4"/>
      <c r="Z11" s="5" t="s">
        <v>66</v>
      </c>
    </row>
    <row r="12" spans="1:26" x14ac:dyDescent="0.3">
      <c r="A12" s="63" t="s">
        <v>79</v>
      </c>
      <c r="B12" s="63" t="s">
        <v>80</v>
      </c>
      <c r="C12" s="64">
        <f>+$E$10</f>
        <v>5453.2040724143917</v>
      </c>
      <c r="D12" s="65">
        <v>0</v>
      </c>
      <c r="E12" s="64">
        <f>+C12*D12</f>
        <v>0</v>
      </c>
      <c r="F12" s="65">
        <f>IF(C12&gt;X9,13%,7%)</f>
        <v>0.13</v>
      </c>
      <c r="G12" s="64">
        <f>+C12*F12</f>
        <v>708.91652941387099</v>
      </c>
      <c r="H12" s="11" t="s">
        <v>81</v>
      </c>
    </row>
    <row r="13" spans="1:26" x14ac:dyDescent="0.3">
      <c r="A13" s="63" t="s">
        <v>82</v>
      </c>
      <c r="B13" s="63" t="s">
        <v>83</v>
      </c>
      <c r="C13" s="64">
        <f>+$E$10</f>
        <v>5453.2040724143917</v>
      </c>
      <c r="D13" s="65">
        <v>0</v>
      </c>
      <c r="E13" s="64">
        <f t="shared" ref="E13:E35" si="0">+C13*D13</f>
        <v>0</v>
      </c>
      <c r="F13" s="65">
        <v>3.0000000000000001E-3</v>
      </c>
      <c r="G13" s="64">
        <f>+C13*F13</f>
        <v>16.359612217243175</v>
      </c>
      <c r="H13" s="11" t="s">
        <v>81</v>
      </c>
    </row>
    <row r="14" spans="1:26" x14ac:dyDescent="0.3">
      <c r="A14" s="63" t="s">
        <v>84</v>
      </c>
      <c r="B14" s="63" t="s">
        <v>85</v>
      </c>
      <c r="C14" s="64">
        <f>+$E$10</f>
        <v>5453.2040724143917</v>
      </c>
      <c r="D14" s="65">
        <v>4.0000000000000001E-3</v>
      </c>
      <c r="E14" s="64">
        <f t="shared" si="0"/>
        <v>21.812816289657569</v>
      </c>
      <c r="F14" s="65">
        <v>2.0199999999999999E-2</v>
      </c>
      <c r="G14" s="64">
        <f t="shared" ref="G14:G37" si="1">+C14*F14</f>
        <v>110.1547222627707</v>
      </c>
      <c r="H14" s="11" t="s">
        <v>81</v>
      </c>
      <c r="W14" t="s">
        <v>10</v>
      </c>
    </row>
    <row r="15" spans="1:26" x14ac:dyDescent="0.3">
      <c r="A15" s="63" t="s">
        <v>86</v>
      </c>
      <c r="B15" s="63" t="s">
        <v>87</v>
      </c>
      <c r="C15" s="64">
        <f>+IF(E$10&lt;X$6,E$10,X$6)</f>
        <v>3925</v>
      </c>
      <c r="D15" s="65">
        <v>6.9000000000000006E-2</v>
      </c>
      <c r="E15" s="64">
        <f t="shared" si="0"/>
        <v>270.82500000000005</v>
      </c>
      <c r="F15" s="65">
        <v>8.5500000000000007E-2</v>
      </c>
      <c r="G15" s="64">
        <f t="shared" si="1"/>
        <v>335.58750000000003</v>
      </c>
      <c r="H15" t="s">
        <v>81</v>
      </c>
    </row>
    <row r="16" spans="1:26" x14ac:dyDescent="0.3">
      <c r="A16" s="63" t="s">
        <v>88</v>
      </c>
      <c r="B16" s="63" t="s">
        <v>89</v>
      </c>
      <c r="C16" s="64">
        <f>+$E$10</f>
        <v>5453.2040724143917</v>
      </c>
      <c r="D16" s="65">
        <v>0</v>
      </c>
      <c r="E16" s="64">
        <f t="shared" si="0"/>
        <v>0</v>
      </c>
      <c r="F16" s="65">
        <v>3.4500000000000003E-2</v>
      </c>
      <c r="G16" s="64">
        <f t="shared" si="1"/>
        <v>188.13554049829654</v>
      </c>
      <c r="H16" s="11" t="s">
        <v>81</v>
      </c>
    </row>
    <row r="17" spans="1:14" x14ac:dyDescent="0.3">
      <c r="A17" s="63" t="s">
        <v>90</v>
      </c>
      <c r="B17" s="63" t="s">
        <v>91</v>
      </c>
      <c r="C17" s="64">
        <f>+$E$10</f>
        <v>5453.2040724143917</v>
      </c>
      <c r="D17" s="65">
        <v>0</v>
      </c>
      <c r="E17" s="64">
        <f t="shared" si="0"/>
        <v>0</v>
      </c>
      <c r="F17" s="65">
        <v>4.5999999999999999E-3</v>
      </c>
      <c r="G17" s="64">
        <f t="shared" si="1"/>
        <v>25.084738733106203</v>
      </c>
      <c r="H17" s="11" t="s">
        <v>81</v>
      </c>
    </row>
    <row r="18" spans="1:14" x14ac:dyDescent="0.3">
      <c r="A18" s="63" t="s">
        <v>92</v>
      </c>
      <c r="B18" s="63" t="s">
        <v>93</v>
      </c>
      <c r="C18" s="64">
        <f>+$E$10</f>
        <v>5453.2040724143917</v>
      </c>
      <c r="D18" s="65">
        <v>0</v>
      </c>
      <c r="E18" s="64">
        <f t="shared" si="0"/>
        <v>0</v>
      </c>
      <c r="F18" s="65">
        <v>5.0000000000000001E-3</v>
      </c>
      <c r="G18" s="64">
        <f t="shared" si="1"/>
        <v>27.266020362071959</v>
      </c>
      <c r="H18" s="11" t="s">
        <v>94</v>
      </c>
    </row>
    <row r="19" spans="1:14" x14ac:dyDescent="0.3">
      <c r="A19" s="63" t="s">
        <v>95</v>
      </c>
      <c r="B19" s="63" t="s">
        <v>96</v>
      </c>
      <c r="C19" s="64">
        <f>+X$7+X$8</f>
        <v>5453.2040724143917</v>
      </c>
      <c r="D19" s="65">
        <v>0</v>
      </c>
      <c r="E19" s="64">
        <f>+C19*D19</f>
        <v>0</v>
      </c>
      <c r="F19" s="65">
        <v>4.0500000000000001E-2</v>
      </c>
      <c r="G19" s="64">
        <f>+F19*C19</f>
        <v>220.85476493278287</v>
      </c>
      <c r="H19" t="s">
        <v>81</v>
      </c>
    </row>
    <row r="20" spans="1:14" x14ac:dyDescent="0.3">
      <c r="A20" s="63" t="s">
        <v>97</v>
      </c>
      <c r="B20" s="63" t="s">
        <v>98</v>
      </c>
      <c r="C20" s="64">
        <f>+C19</f>
        <v>5453.2040724143917</v>
      </c>
      <c r="D20" s="65">
        <v>0</v>
      </c>
      <c r="E20" s="64">
        <f>+C20*D20</f>
        <v>0</v>
      </c>
      <c r="F20" s="65">
        <v>2.5000000000000001E-3</v>
      </c>
      <c r="G20" s="64">
        <f>+F20*C20</f>
        <v>13.63301018103598</v>
      </c>
      <c r="H20" t="s">
        <v>81</v>
      </c>
    </row>
    <row r="21" spans="1:14" ht="15" x14ac:dyDescent="0.35">
      <c r="A21" s="63" t="s">
        <v>99</v>
      </c>
      <c r="B21" s="63" t="s">
        <v>100</v>
      </c>
      <c r="C21" s="64">
        <f>+C15</f>
        <v>3925</v>
      </c>
      <c r="D21" s="65">
        <v>3.15E-2</v>
      </c>
      <c r="E21" s="64">
        <f t="shared" si="0"/>
        <v>123.6375</v>
      </c>
      <c r="F21" s="65">
        <v>4.7199999999999999E-2</v>
      </c>
      <c r="G21" s="64">
        <f t="shared" si="1"/>
        <v>185.26</v>
      </c>
      <c r="H21" t="s">
        <v>81</v>
      </c>
      <c r="J21" s="206" t="s">
        <v>101</v>
      </c>
      <c r="K21" s="207"/>
      <c r="L21" s="206" t="s">
        <v>102</v>
      </c>
      <c r="M21" s="207"/>
    </row>
    <row r="22" spans="1:14" ht="15" x14ac:dyDescent="0.35">
      <c r="A22" s="63" t="s">
        <v>103</v>
      </c>
      <c r="B22" s="63" t="s">
        <v>104</v>
      </c>
      <c r="C22" s="64">
        <f>+C20-C21</f>
        <v>1528.2040724143917</v>
      </c>
      <c r="D22" s="65">
        <v>8.6400000000000005E-2</v>
      </c>
      <c r="E22" s="64">
        <f>+C22*D22</f>
        <v>132.03683185660344</v>
      </c>
      <c r="F22" s="65">
        <v>0.1295</v>
      </c>
      <c r="G22" s="64">
        <f>+C22*F22</f>
        <v>197.90242737766374</v>
      </c>
      <c r="H22" t="s">
        <v>81</v>
      </c>
      <c r="I22" s="12" t="s">
        <v>32</v>
      </c>
      <c r="J22" s="107" t="s">
        <v>105</v>
      </c>
      <c r="K22" s="12" t="s">
        <v>106</v>
      </c>
      <c r="L22" s="107" t="s">
        <v>107</v>
      </c>
      <c r="M22" s="12" t="s">
        <v>108</v>
      </c>
      <c r="N22" s="107" t="s">
        <v>109</v>
      </c>
    </row>
    <row r="23" spans="1:14" ht="15" customHeight="1" x14ac:dyDescent="0.3">
      <c r="A23" s="63" t="s">
        <v>110</v>
      </c>
      <c r="B23" s="63" t="s">
        <v>111</v>
      </c>
      <c r="C23" s="64">
        <f>+IF(E$10&lt;X$6,0,E$10)</f>
        <v>5453.2040724143917</v>
      </c>
      <c r="D23" s="65">
        <v>1.4E-3</v>
      </c>
      <c r="E23" s="64">
        <f>+C23*D23</f>
        <v>7.6344857013801484</v>
      </c>
      <c r="F23" s="65">
        <v>2.0999999999999999E-3</v>
      </c>
      <c r="G23" s="64">
        <f>+C23*F23</f>
        <v>11.451728552070222</v>
      </c>
      <c r="H23" t="s">
        <v>81</v>
      </c>
      <c r="I23" s="13" t="s">
        <v>112</v>
      </c>
      <c r="J23" s="116"/>
      <c r="K23" s="14">
        <v>0</v>
      </c>
      <c r="L23" s="110"/>
      <c r="M23" s="14">
        <v>0</v>
      </c>
      <c r="N23" s="111">
        <f>M23+K23</f>
        <v>0</v>
      </c>
    </row>
    <row r="24" spans="1:14" x14ac:dyDescent="0.3">
      <c r="A24" s="63" t="s">
        <v>113</v>
      </c>
      <c r="B24" s="63" t="s">
        <v>114</v>
      </c>
      <c r="C24" s="64">
        <f>+C15</f>
        <v>3925</v>
      </c>
      <c r="D24" s="65">
        <v>8.6E-3</v>
      </c>
      <c r="E24" s="64">
        <f>+C24*D24</f>
        <v>33.755000000000003</v>
      </c>
      <c r="F24" s="65">
        <v>1.29E-2</v>
      </c>
      <c r="G24" s="64">
        <f>+C24*F24</f>
        <v>50.6325</v>
      </c>
      <c r="H24" t="s">
        <v>81</v>
      </c>
      <c r="I24" s="13" t="s">
        <v>115</v>
      </c>
      <c r="J24" s="116"/>
      <c r="K24" s="119">
        <v>45.6</v>
      </c>
      <c r="L24" s="116"/>
      <c r="M24" s="14">
        <v>30.4</v>
      </c>
      <c r="N24" s="111">
        <f>M24+K24</f>
        <v>76</v>
      </c>
    </row>
    <row r="25" spans="1:14" x14ac:dyDescent="0.3">
      <c r="A25" s="63" t="s">
        <v>113</v>
      </c>
      <c r="B25" s="63" t="s">
        <v>116</v>
      </c>
      <c r="C25" s="64">
        <f>+IF(E$10&lt;X$6,0,(E$10-X$6))</f>
        <v>1528.2040724143917</v>
      </c>
      <c r="D25" s="65">
        <v>1.0800000000000001E-2</v>
      </c>
      <c r="E25" s="64">
        <f>+C25*D25</f>
        <v>16.50460398207543</v>
      </c>
      <c r="F25" s="65">
        <v>1.6199999999999999E-2</v>
      </c>
      <c r="G25" s="64">
        <f>+C25*F25</f>
        <v>24.756905973113145</v>
      </c>
      <c r="H25" t="s">
        <v>81</v>
      </c>
      <c r="I25" s="13" t="s">
        <v>117</v>
      </c>
      <c r="J25" s="116"/>
      <c r="K25" s="119"/>
      <c r="L25" s="110"/>
      <c r="M25" s="14"/>
      <c r="N25" s="111"/>
    </row>
    <row r="26" spans="1:14" x14ac:dyDescent="0.3">
      <c r="A26" s="63" t="s">
        <v>118</v>
      </c>
      <c r="B26" s="63" t="s">
        <v>119</v>
      </c>
      <c r="C26" s="64">
        <f>+C20</f>
        <v>5453.2040724143917</v>
      </c>
      <c r="D26" s="65">
        <v>2.4000000000000001E-4</v>
      </c>
      <c r="E26" s="64">
        <f t="shared" si="0"/>
        <v>1.308768977379454</v>
      </c>
      <c r="F26" s="65">
        <v>3.6000000000000002E-4</v>
      </c>
      <c r="G26" s="64">
        <f t="shared" si="1"/>
        <v>1.9631534660691812</v>
      </c>
      <c r="H26" t="s">
        <v>81</v>
      </c>
      <c r="I26" s="13" t="s">
        <v>120</v>
      </c>
      <c r="J26" s="116"/>
      <c r="K26" s="119"/>
      <c r="L26" s="116"/>
      <c r="M26" s="14"/>
      <c r="N26" s="111"/>
    </row>
    <row r="27" spans="1:14" x14ac:dyDescent="0.3">
      <c r="A27" s="63" t="s">
        <v>121</v>
      </c>
      <c r="B27" s="63" t="s">
        <v>122</v>
      </c>
      <c r="C27" s="64">
        <f>+C24</f>
        <v>3925</v>
      </c>
      <c r="D27" s="65">
        <v>0</v>
      </c>
      <c r="E27" s="64">
        <f t="shared" si="0"/>
        <v>0</v>
      </c>
      <c r="F27" s="65">
        <v>7.0000000000000001E-3</v>
      </c>
      <c r="G27" s="64">
        <f t="shared" si="1"/>
        <v>27.475000000000001</v>
      </c>
      <c r="I27" s="112" t="s">
        <v>123</v>
      </c>
      <c r="J27" s="116"/>
      <c r="K27" s="119"/>
      <c r="L27" s="113"/>
      <c r="M27" s="14"/>
      <c r="N27" s="111"/>
    </row>
    <row r="28" spans="1:14" x14ac:dyDescent="0.3">
      <c r="A28" s="63" t="s">
        <v>124</v>
      </c>
      <c r="B28" s="63" t="s">
        <v>125</v>
      </c>
      <c r="C28" s="64">
        <f>+IF(E$10&lt;X$6,0,(E$10-X$6))</f>
        <v>1528.2040724143917</v>
      </c>
      <c r="D28" s="65">
        <v>3.5999999999999999E-3</v>
      </c>
      <c r="E28" s="64">
        <f t="shared" si="0"/>
        <v>5.5015346606918101</v>
      </c>
      <c r="F28" s="65">
        <v>3.5999999999999999E-3</v>
      </c>
      <c r="G28" s="64">
        <f t="shared" si="1"/>
        <v>5.5015346606918101</v>
      </c>
      <c r="I28" s="112" t="s">
        <v>126</v>
      </c>
      <c r="J28" s="116"/>
      <c r="K28" s="120"/>
      <c r="L28" s="113"/>
      <c r="M28" s="114"/>
      <c r="N28" s="115"/>
    </row>
    <row r="29" spans="1:14" x14ac:dyDescent="0.3">
      <c r="A29" s="63" t="s">
        <v>127</v>
      </c>
      <c r="B29" s="63" t="s">
        <v>128</v>
      </c>
      <c r="C29" s="64">
        <f>+X6</f>
        <v>3925</v>
      </c>
      <c r="D29" s="65"/>
      <c r="E29" s="64">
        <f>IF('1. Calcul Avec prov'!J17="Oui",'1. Calcul Avec prov'!M17,0)</f>
        <v>30.4</v>
      </c>
      <c r="F29" s="65"/>
      <c r="G29" s="64">
        <f>IF('1. Calcul Avec prov'!J17="Oui",K24,0)</f>
        <v>45.6</v>
      </c>
    </row>
    <row r="30" spans="1:14" x14ac:dyDescent="0.3">
      <c r="A30" s="63"/>
      <c r="B30" s="63" t="s">
        <v>182</v>
      </c>
      <c r="C30" s="64"/>
      <c r="D30" s="65"/>
      <c r="E30" s="64">
        <f>G27+G28+G29</f>
        <v>78.576534660691806</v>
      </c>
      <c r="F30" s="65">
        <v>0.08</v>
      </c>
      <c r="G30" s="64">
        <f>+E30*F30</f>
        <v>6.2861227728553448</v>
      </c>
    </row>
    <row r="31" spans="1:14" ht="15" x14ac:dyDescent="0.35">
      <c r="A31" s="63" t="s">
        <v>129</v>
      </c>
      <c r="B31" s="63" t="s">
        <v>130</v>
      </c>
      <c r="C31" s="64">
        <f>+E10</f>
        <v>5453.2040724143917</v>
      </c>
      <c r="D31" s="65">
        <v>0</v>
      </c>
      <c r="E31" s="64">
        <f>+C31*D31</f>
        <v>0</v>
      </c>
      <c r="F31" s="65">
        <v>1.6000000000000001E-4</v>
      </c>
      <c r="G31" s="64">
        <f>+C31*F31</f>
        <v>0.87251265158630276</v>
      </c>
      <c r="H31" t="s">
        <v>81</v>
      </c>
      <c r="K31" s="94" t="s">
        <v>32</v>
      </c>
      <c r="L31" s="95" t="s">
        <v>131</v>
      </c>
      <c r="M31" s="108"/>
    </row>
    <row r="32" spans="1:14" x14ac:dyDescent="0.3">
      <c r="A32" s="63" t="s">
        <v>132</v>
      </c>
      <c r="B32" s="63" t="s">
        <v>133</v>
      </c>
      <c r="C32" s="64">
        <f>+E10</f>
        <v>5453.2040724143917</v>
      </c>
      <c r="D32" s="65">
        <v>0</v>
      </c>
      <c r="E32" s="64">
        <f>+C32*D32</f>
        <v>0</v>
      </c>
      <c r="F32" s="65">
        <v>6.7999999999999996E-3</v>
      </c>
      <c r="G32" s="64">
        <f>+C32*F32</f>
        <v>37.081787692417862</v>
      </c>
      <c r="H32" t="s">
        <v>81</v>
      </c>
      <c r="K32" s="96" t="s">
        <v>33</v>
      </c>
      <c r="L32" s="150">
        <v>30.4</v>
      </c>
      <c r="M32" s="109"/>
    </row>
    <row r="33" spans="1:23" x14ac:dyDescent="0.3">
      <c r="A33" s="63" t="s">
        <v>134</v>
      </c>
      <c r="B33" s="63" t="s">
        <v>135</v>
      </c>
      <c r="C33" s="64">
        <f>+E10</f>
        <v>5453.2040724143917</v>
      </c>
      <c r="D33" s="65">
        <v>0</v>
      </c>
      <c r="E33" s="64">
        <f>+C33*D33</f>
        <v>0</v>
      </c>
      <c r="F33" s="65">
        <v>1E-4</v>
      </c>
      <c r="G33" s="64">
        <f>+C33*F33</f>
        <v>0.54532040724143915</v>
      </c>
      <c r="K33" s="97" t="s">
        <v>112</v>
      </c>
      <c r="L33" s="151"/>
      <c r="M33" s="109"/>
      <c r="W33" s="88"/>
    </row>
    <row r="34" spans="1:23" x14ac:dyDescent="0.3">
      <c r="A34" s="63" t="s">
        <v>136</v>
      </c>
      <c r="B34" s="63" t="s">
        <v>137</v>
      </c>
      <c r="C34" s="64">
        <f>E10</f>
        <v>5453.2040724143917</v>
      </c>
      <c r="D34" s="65">
        <v>0</v>
      </c>
      <c r="E34" s="64">
        <f>+C34*D34</f>
        <v>0</v>
      </c>
      <c r="F34" s="65">
        <v>4.0000000000000002E-4</v>
      </c>
      <c r="G34" s="64">
        <f>+C34*F34</f>
        <v>2.1812816289657566</v>
      </c>
    </row>
    <row r="35" spans="1:23" x14ac:dyDescent="0.3">
      <c r="A35" s="63" t="s">
        <v>138</v>
      </c>
      <c r="B35" s="63" t="s">
        <v>139</v>
      </c>
      <c r="C35" s="64">
        <f>+E10</f>
        <v>5453.2040724143917</v>
      </c>
      <c r="D35" s="65">
        <v>0</v>
      </c>
      <c r="E35" s="64">
        <f t="shared" si="0"/>
        <v>0</v>
      </c>
      <c r="F35" s="65">
        <v>1.6E-2</v>
      </c>
      <c r="G35" s="64">
        <f t="shared" si="1"/>
        <v>87.251265158630275</v>
      </c>
      <c r="H35" t="s">
        <v>81</v>
      </c>
      <c r="W35" t="s">
        <v>10</v>
      </c>
    </row>
    <row r="36" spans="1:23" x14ac:dyDescent="0.3">
      <c r="A36" s="63"/>
      <c r="B36" s="63" t="s">
        <v>140</v>
      </c>
      <c r="C36" s="64">
        <f>E10</f>
        <v>5453.2040724143917</v>
      </c>
      <c r="D36" s="65">
        <v>0</v>
      </c>
      <c r="E36" s="64">
        <f t="shared" ref="E36:E37" si="2">+C36*D36</f>
        <v>0</v>
      </c>
      <c r="F36" s="65">
        <f>0.45%</f>
        <v>4.5000000000000005E-3</v>
      </c>
      <c r="G36" s="64">
        <f t="shared" si="1"/>
        <v>24.539418325864766</v>
      </c>
    </row>
    <row r="37" spans="1:23" x14ac:dyDescent="0.3">
      <c r="A37" s="63"/>
      <c r="B37" s="63" t="s">
        <v>141</v>
      </c>
      <c r="C37" s="64">
        <f>E10</f>
        <v>5453.2040724143917</v>
      </c>
      <c r="D37" s="65">
        <v>0</v>
      </c>
      <c r="E37" s="64">
        <f t="shared" si="2"/>
        <v>0</v>
      </c>
      <c r="F37" s="65" t="e">
        <f>tx_taxe_transport/100</f>
        <v>#REF!</v>
      </c>
      <c r="G37" s="64" t="e">
        <f t="shared" si="1"/>
        <v>#REF!</v>
      </c>
      <c r="H37" t="s">
        <v>180</v>
      </c>
    </row>
    <row r="38" spans="1:23" x14ac:dyDescent="0.3">
      <c r="A38" s="63" t="s">
        <v>142</v>
      </c>
      <c r="B38" s="63" t="s">
        <v>143</v>
      </c>
      <c r="C38" s="64">
        <f>IF(($E$10/151.67)&gt;=(C2*3.3939),$E$10,0)</f>
        <v>0</v>
      </c>
      <c r="D38" s="65">
        <v>0</v>
      </c>
      <c r="E38" s="64">
        <f>+C38*D38</f>
        <v>0</v>
      </c>
      <c r="F38" s="65">
        <v>1.7999999999999999E-2</v>
      </c>
      <c r="G38" s="64">
        <f>+C38*F38</f>
        <v>0</v>
      </c>
      <c r="H38" t="s">
        <v>81</v>
      </c>
    </row>
    <row r="39" spans="1:23" x14ac:dyDescent="0.3">
      <c r="A39" s="63" t="s">
        <v>144</v>
      </c>
      <c r="B39" s="63" t="s">
        <v>145</v>
      </c>
      <c r="C39" s="64">
        <f>+C40</f>
        <v>5436.3495358078317</v>
      </c>
      <c r="D39" s="65">
        <v>2.9000000000000001E-2</v>
      </c>
      <c r="E39" s="64">
        <f>+C39*D39</f>
        <v>157.65413653842714</v>
      </c>
      <c r="F39" s="65">
        <v>0</v>
      </c>
      <c r="G39" s="64">
        <f>+C39*F39</f>
        <v>0</v>
      </c>
      <c r="H39" t="s">
        <v>81</v>
      </c>
    </row>
    <row r="40" spans="1:23" x14ac:dyDescent="0.3">
      <c r="A40" s="63" t="s">
        <v>146</v>
      </c>
      <c r="B40" s="63" t="s">
        <v>147</v>
      </c>
      <c r="C40" s="64">
        <f>+($E$10-($E$10*1.75%))+$G$27+$G$28+$G$29</f>
        <v>5436.3495358078317</v>
      </c>
      <c r="D40" s="65">
        <v>6.8000000000000005E-2</v>
      </c>
      <c r="E40" s="64">
        <f>+C40*D40</f>
        <v>369.67176843493257</v>
      </c>
      <c r="F40" s="65">
        <v>0</v>
      </c>
      <c r="G40" s="64">
        <f>+C40*F40</f>
        <v>0</v>
      </c>
      <c r="H40" s="16" t="s">
        <v>81</v>
      </c>
    </row>
    <row r="41" spans="1:23" x14ac:dyDescent="0.3">
      <c r="A41" s="6" t="s">
        <v>66</v>
      </c>
      <c r="B41" s="6" t="s">
        <v>148</v>
      </c>
      <c r="C41" s="6" t="s">
        <v>66</v>
      </c>
      <c r="D41" s="6"/>
      <c r="E41" s="7">
        <f>SUM(E12:E40)-E39</f>
        <v>1091.6648445634123</v>
      </c>
      <c r="F41" s="7"/>
      <c r="G41" s="17"/>
      <c r="W41" t="s">
        <v>10</v>
      </c>
    </row>
    <row r="42" spans="1:23" x14ac:dyDescent="0.3">
      <c r="A42" s="6" t="s">
        <v>66</v>
      </c>
      <c r="B42" s="6" t="s">
        <v>149</v>
      </c>
      <c r="C42" s="6" t="s">
        <v>66</v>
      </c>
      <c r="D42" s="6"/>
      <c r="E42" s="7">
        <f>+E39</f>
        <v>157.65413653842714</v>
      </c>
      <c r="F42" s="7"/>
      <c r="G42" s="8" t="s">
        <v>66</v>
      </c>
    </row>
    <row r="43" spans="1:23" x14ac:dyDescent="0.3">
      <c r="A43" s="71" t="s">
        <v>66</v>
      </c>
      <c r="B43" s="71" t="s">
        <v>150</v>
      </c>
      <c r="C43" s="74">
        <f>'1. Calcul Avec prov'!J5</f>
        <v>18</v>
      </c>
      <c r="D43" s="72">
        <f>E43/C43</f>
        <v>69.4066100612133</v>
      </c>
      <c r="E43" s="72">
        <f>E41+E42</f>
        <v>1249.3189811018394</v>
      </c>
      <c r="F43" s="72" t="e">
        <f>G43/C43</f>
        <v>#REF!</v>
      </c>
      <c r="G43" s="73" t="e">
        <f>SUM(G12:G40)</f>
        <v>#REF!</v>
      </c>
      <c r="H43" s="102" t="e">
        <f>G43/E10</f>
        <v>#REF!</v>
      </c>
    </row>
    <row r="44" spans="1:23" x14ac:dyDescent="0.3">
      <c r="A44" s="19" t="s">
        <v>66</v>
      </c>
      <c r="B44" s="19" t="s">
        <v>151</v>
      </c>
      <c r="C44" s="19" t="s">
        <v>66</v>
      </c>
      <c r="D44" s="19"/>
      <c r="E44" s="20">
        <f>+E10-E43+E42</f>
        <v>4361.5392278509798</v>
      </c>
      <c r="F44" s="20"/>
      <c r="G44" s="21" t="s">
        <v>66</v>
      </c>
    </row>
    <row r="45" spans="1:23" x14ac:dyDescent="0.3">
      <c r="A45" s="19"/>
      <c r="B45" s="19" t="s">
        <v>152</v>
      </c>
      <c r="C45" s="77">
        <f>'1. Calcul Avec prov'!J5</f>
        <v>18</v>
      </c>
      <c r="D45" s="84">
        <f>E45/C45</f>
        <v>233.54917173958626</v>
      </c>
      <c r="E45" s="20">
        <f>E10-E43</f>
        <v>4203.8850913125525</v>
      </c>
      <c r="F45" s="20"/>
      <c r="G45" s="21"/>
    </row>
    <row r="46" spans="1:23" x14ac:dyDescent="0.3">
      <c r="A46" s="22"/>
      <c r="B46" s="22" t="s">
        <v>153</v>
      </c>
      <c r="C46" s="76">
        <f>'1. Calcul Avec prov'!J5</f>
        <v>18</v>
      </c>
      <c r="D46" s="62">
        <f>E46/C46</f>
        <v>-5.5</v>
      </c>
      <c r="E46" s="23">
        <f>-'1. Calcul Avec prov'!M13</f>
        <v>-99</v>
      </c>
      <c r="F46" s="23"/>
      <c r="G46" s="24"/>
    </row>
    <row r="47" spans="1:23" x14ac:dyDescent="0.3">
      <c r="A47" s="22" t="s">
        <v>66</v>
      </c>
      <c r="B47" s="66" t="s">
        <v>154</v>
      </c>
      <c r="C47" s="75">
        <f>'1. Calcul Avec prov'!J5</f>
        <v>18</v>
      </c>
      <c r="D47" s="67">
        <f>E47/C47</f>
        <v>228.04917173958626</v>
      </c>
      <c r="E47" s="68">
        <f>E10-E43+E46</f>
        <v>4104.8850913125525</v>
      </c>
      <c r="F47" s="23"/>
      <c r="G47" s="24" t="s">
        <v>66</v>
      </c>
    </row>
    <row r="48" spans="1:23" x14ac:dyDescent="0.3">
      <c r="A48" s="22"/>
      <c r="B48" s="22" t="s">
        <v>155</v>
      </c>
      <c r="C48" s="76"/>
      <c r="D48" s="22"/>
      <c r="E48" s="23">
        <f>'1. Calcul Avec prov'!J12</f>
        <v>0</v>
      </c>
      <c r="F48" s="23"/>
      <c r="G48" s="24"/>
    </row>
    <row r="49" spans="1:23" x14ac:dyDescent="0.3">
      <c r="A49" s="22"/>
      <c r="B49" s="22" t="s">
        <v>156</v>
      </c>
      <c r="C49" s="76"/>
      <c r="D49" s="22"/>
      <c r="E49" s="23">
        <f>'1. Calcul Avec prov'!J21</f>
        <v>198</v>
      </c>
      <c r="F49" s="23"/>
      <c r="G49" s="24"/>
      <c r="S49" s="15"/>
    </row>
    <row r="50" spans="1:23" x14ac:dyDescent="0.3">
      <c r="A50" s="19" t="s">
        <v>66</v>
      </c>
      <c r="B50" s="19" t="s">
        <v>157</v>
      </c>
      <c r="C50" s="77">
        <f>'1. Calcul Avec prov'!J5</f>
        <v>18</v>
      </c>
      <c r="D50" s="19" t="e">
        <f>E50/C50</f>
        <v>#REF!</v>
      </c>
      <c r="E50" s="20" t="e">
        <f>+E10+G43</f>
        <v>#REF!</v>
      </c>
      <c r="F50" s="20"/>
      <c r="G50" s="21" t="s">
        <v>66</v>
      </c>
      <c r="S50" s="15"/>
    </row>
    <row r="51" spans="1:23" hidden="1" x14ac:dyDescent="0.3">
      <c r="A51" s="22" t="s">
        <v>66</v>
      </c>
      <c r="B51" s="57" t="s">
        <v>158</v>
      </c>
      <c r="C51" s="78" t="s">
        <v>66</v>
      </c>
      <c r="D51" s="57"/>
      <c r="E51" s="58">
        <f>E47-'1. Calcul Avec prov'!K19</f>
        <v>3668.7311685274544</v>
      </c>
      <c r="F51" s="23"/>
      <c r="G51" s="24" t="s">
        <v>66</v>
      </c>
      <c r="W51" s="16"/>
    </row>
    <row r="52" spans="1:23" x14ac:dyDescent="0.3">
      <c r="A52" s="22"/>
      <c r="B52" s="22" t="s">
        <v>159</v>
      </c>
      <c r="C52" s="76">
        <f>'1. Calcul Avec prov'!J5</f>
        <v>18</v>
      </c>
      <c r="D52" s="62">
        <f>E52/C52</f>
        <v>5.4692826865925275</v>
      </c>
      <c r="E52" s="23">
        <f>E53-E47</f>
        <v>98.447088358665496</v>
      </c>
      <c r="F52" s="23"/>
      <c r="G52" s="24"/>
      <c r="W52" s="16"/>
    </row>
    <row r="53" spans="1:23" x14ac:dyDescent="0.3">
      <c r="A53" s="22"/>
      <c r="B53" s="36" t="s">
        <v>160</v>
      </c>
      <c r="C53" s="79">
        <f>'1. Calcul Avec prov'!J5</f>
        <v>18</v>
      </c>
      <c r="D53" s="61">
        <f>E53/C53</f>
        <v>233.51845442617878</v>
      </c>
      <c r="E53" s="37">
        <f>'2. Calcul Sans prov'!B9</f>
        <v>4203.332179671218</v>
      </c>
      <c r="F53" s="23"/>
      <c r="G53" s="24"/>
      <c r="W53" s="16"/>
    </row>
    <row r="54" spans="1:23" ht="28.8" x14ac:dyDescent="0.3">
      <c r="A54" s="22"/>
      <c r="B54" s="59" t="s">
        <v>161</v>
      </c>
      <c r="C54" s="79">
        <f>'1. Calcul Avec prov'!J5</f>
        <v>18</v>
      </c>
      <c r="D54" s="61">
        <f>E54/C54</f>
        <v>244.51845442617878</v>
      </c>
      <c r="E54" s="37">
        <f>E53+E48+E49</f>
        <v>4401.332179671218</v>
      </c>
      <c r="F54" s="23"/>
      <c r="G54" s="24"/>
    </row>
    <row r="55" spans="1:23" ht="33" customHeight="1" x14ac:dyDescent="0.3">
      <c r="G55" s="1"/>
    </row>
    <row r="56" spans="1:23" x14ac:dyDescent="0.3">
      <c r="B56" t="s">
        <v>162</v>
      </c>
      <c r="C56" s="11">
        <f>+E43/E10</f>
        <v>0.22909815303293918</v>
      </c>
      <c r="G56" s="1"/>
      <c r="K56" t="s">
        <v>163</v>
      </c>
    </row>
    <row r="57" spans="1:23" x14ac:dyDescent="0.3">
      <c r="B57" t="s">
        <v>164</v>
      </c>
      <c r="C57" s="11" t="e">
        <f>+G43/E10</f>
        <v>#REF!</v>
      </c>
      <c r="G57" s="1"/>
    </row>
    <row r="58" spans="1:23" ht="15" thickBot="1" x14ac:dyDescent="0.35"/>
    <row r="59" spans="1:23" ht="15" thickBot="1" x14ac:dyDescent="0.35">
      <c r="B59" s="27" t="s">
        <v>56</v>
      </c>
      <c r="C59" s="56">
        <f>E54/'1. Calcul Avec prov'!J6 *100</f>
        <v>48.903690885235754</v>
      </c>
    </row>
    <row r="62" spans="1:23" ht="15" thickBot="1" x14ac:dyDescent="0.35"/>
    <row r="63" spans="1:23" ht="31.5" customHeight="1" thickBot="1" x14ac:dyDescent="0.35">
      <c r="B63" s="208" t="s">
        <v>165</v>
      </c>
      <c r="C63" s="209"/>
      <c r="D63" s="209"/>
      <c r="E63" s="210"/>
    </row>
    <row r="64" spans="1:23" ht="27" customHeight="1" x14ac:dyDescent="0.3"/>
  </sheetData>
  <mergeCells count="5">
    <mergeCell ref="J21:K21"/>
    <mergeCell ref="L21:M21"/>
    <mergeCell ref="B63:E63"/>
    <mergeCell ref="A1:G1"/>
    <mergeCell ref="C3:G3"/>
  </mergeCells>
  <pageMargins left="0.7" right="0.24" top="0.75" bottom="0.75" header="0.3" footer="0.3"/>
  <pageSetup paperSize="9" fitToHeight="0" orientation="portrait" verticalDpi="0" r:id="rId1"/>
  <customProperties>
    <customPr name="OrphanNamesChecked" r:id="rId2"/>
  </customProperties>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CC99"/>
  </sheetPr>
  <dimension ref="A1:X53"/>
  <sheetViews>
    <sheetView tabSelected="1" zoomScale="130" zoomScaleNormal="130" workbookViewId="0">
      <selection activeCell="B34" sqref="B34"/>
    </sheetView>
  </sheetViews>
  <sheetFormatPr baseColWidth="10" defaultColWidth="8.5546875" defaultRowHeight="14.4" x14ac:dyDescent="0.3"/>
  <cols>
    <col min="1" max="1" width="12.44140625" bestFit="1" customWidth="1"/>
    <col min="2" max="2" width="40.44140625" bestFit="1" customWidth="1"/>
    <col min="4" max="4" width="8.44140625" bestFit="1" customWidth="1"/>
    <col min="5" max="5" width="9" bestFit="1" customWidth="1"/>
    <col min="7" max="7" width="8.44140625" bestFit="1" customWidth="1"/>
    <col min="9" max="10" width="8.5546875" hidden="1" customWidth="1"/>
    <col min="11" max="11" width="34.5546875" hidden="1" customWidth="1"/>
    <col min="12" max="12" width="12" hidden="1" customWidth="1"/>
    <col min="13" max="13" width="12.5546875" hidden="1" customWidth="1"/>
    <col min="14" max="14" width="9.5546875" hidden="1" customWidth="1"/>
    <col min="15" max="15" width="12" hidden="1" customWidth="1"/>
    <col min="16" max="16" width="17" hidden="1" customWidth="1"/>
    <col min="17" max="17" width="11" hidden="1" customWidth="1"/>
    <col min="18" max="18" width="12" hidden="1" customWidth="1"/>
    <col min="19" max="19" width="12.5546875" hidden="1" customWidth="1"/>
    <col min="20" max="20" width="8.5546875" customWidth="1"/>
    <col min="21" max="21" width="26.5546875" bestFit="1" customWidth="1"/>
    <col min="22" max="22" width="14.5546875" customWidth="1"/>
  </cols>
  <sheetData>
    <row r="1" spans="1:24" ht="14.4" customHeight="1" x14ac:dyDescent="0.3">
      <c r="A1" s="211" t="s">
        <v>57</v>
      </c>
      <c r="B1" s="212"/>
      <c r="C1" s="212"/>
      <c r="D1" s="212"/>
      <c r="E1" s="212"/>
      <c r="F1" s="212"/>
      <c r="G1" s="212"/>
    </row>
    <row r="2" spans="1:24" x14ac:dyDescent="0.3">
      <c r="A2" t="s">
        <v>58</v>
      </c>
      <c r="B2" s="100">
        <v>11.88</v>
      </c>
      <c r="G2" s="1"/>
    </row>
    <row r="3" spans="1:24" ht="14.4" customHeight="1" x14ac:dyDescent="0.3">
      <c r="C3" s="211" t="s">
        <v>59</v>
      </c>
      <c r="D3" s="212"/>
      <c r="E3" s="212"/>
      <c r="F3" s="212"/>
      <c r="G3" s="213"/>
    </row>
    <row r="4" spans="1:24" ht="43.2" x14ac:dyDescent="0.3">
      <c r="A4" s="2" t="s">
        <v>60</v>
      </c>
      <c r="B4" s="2" t="s">
        <v>61</v>
      </c>
      <c r="C4" s="2" t="s">
        <v>62</v>
      </c>
      <c r="D4" s="2" t="s">
        <v>63</v>
      </c>
      <c r="E4" s="2" t="s">
        <v>64</v>
      </c>
      <c r="F4" s="2"/>
      <c r="G4" s="2"/>
    </row>
    <row r="5" spans="1:24" ht="14.4" customHeight="1" x14ac:dyDescent="0.3">
      <c r="A5" s="3"/>
      <c r="B5" s="8" t="s">
        <v>65</v>
      </c>
      <c r="C5" s="81">
        <f>'1. Calcul Avec prov'!J5</f>
        <v>18</v>
      </c>
      <c r="D5" s="60">
        <f>+E5/C5</f>
        <v>309.84137356232668</v>
      </c>
      <c r="E5" s="17">
        <f>'2. Calcul Sans prov'!B5</f>
        <v>5577.1447241218802</v>
      </c>
      <c r="F5" s="17"/>
      <c r="G5" s="8" t="s">
        <v>66</v>
      </c>
      <c r="U5" s="3" t="s">
        <v>178</v>
      </c>
      <c r="V5" s="4">
        <v>216</v>
      </c>
      <c r="W5" s="4"/>
      <c r="X5" s="5" t="s">
        <v>66</v>
      </c>
    </row>
    <row r="6" spans="1:24" ht="14.4" customHeight="1" x14ac:dyDescent="0.3">
      <c r="A6" s="3"/>
      <c r="B6" s="3" t="s">
        <v>67</v>
      </c>
      <c r="C6" s="80">
        <f>'1. Calcul Avec prov'!J5</f>
        <v>18</v>
      </c>
      <c r="D6" s="4">
        <f>(V11*0.85)/1.1/1.05</f>
        <v>132.46753246753246</v>
      </c>
      <c r="E6" s="4">
        <f>+C6*D6</f>
        <v>2384.4155844155844</v>
      </c>
      <c r="F6" s="4"/>
      <c r="G6" s="5"/>
      <c r="U6" s="3" t="s">
        <v>179</v>
      </c>
      <c r="V6" s="4">
        <v>3925</v>
      </c>
      <c r="W6" s="4"/>
      <c r="X6" s="5" t="s">
        <v>66</v>
      </c>
    </row>
    <row r="7" spans="1:24" ht="14.4" customHeight="1" x14ac:dyDescent="0.3">
      <c r="A7" s="3"/>
      <c r="B7" s="3" t="s">
        <v>68</v>
      </c>
      <c r="C7" s="80">
        <f>'1. Calcul Avec prov'!J5</f>
        <v>18</v>
      </c>
      <c r="D7" s="4">
        <f>(D5/1.1/1.05)-D6</f>
        <v>135.7933970236594</v>
      </c>
      <c r="E7" s="4">
        <f>+C7*D7</f>
        <v>2444.2811464258693</v>
      </c>
      <c r="F7" s="4"/>
      <c r="G7" s="5"/>
      <c r="U7" s="3" t="s">
        <v>69</v>
      </c>
      <c r="V7" s="4">
        <f>+IF(E10&gt;V6,V6,E10)</f>
        <v>3925</v>
      </c>
      <c r="W7" s="4"/>
      <c r="X7" s="5" t="s">
        <v>66</v>
      </c>
    </row>
    <row r="8" spans="1:24" ht="14.4" customHeight="1" x14ac:dyDescent="0.3">
      <c r="A8" s="3"/>
      <c r="B8" s="3" t="s">
        <v>70</v>
      </c>
      <c r="C8" s="80">
        <f>'1. Calcul Avec prov'!J5</f>
        <v>18</v>
      </c>
      <c r="D8" s="4">
        <f>(D6+D7)*0.05</f>
        <v>13.413046474559593</v>
      </c>
      <c r="E8" s="4">
        <f>+C8*D8</f>
        <v>241.43483654207267</v>
      </c>
      <c r="F8" s="4"/>
      <c r="G8" s="5"/>
      <c r="U8" s="3" t="s">
        <v>71</v>
      </c>
      <c r="V8" s="4">
        <f>IF($E$10&lt;$V$6,0,$E$10-$V$7)</f>
        <v>1652.1447241218784</v>
      </c>
      <c r="W8" s="4"/>
      <c r="X8" s="5" t="s">
        <v>66</v>
      </c>
    </row>
    <row r="9" spans="1:24" ht="14.4" customHeight="1" x14ac:dyDescent="0.3">
      <c r="A9" s="3"/>
      <c r="B9" s="3" t="s">
        <v>72</v>
      </c>
      <c r="C9" s="80">
        <f>'1. Calcul Avec prov'!J5</f>
        <v>18</v>
      </c>
      <c r="D9" s="4">
        <f>(D8+D6+D7)*0.1</f>
        <v>28.167397596575142</v>
      </c>
      <c r="E9" s="4">
        <f>+C9*D9</f>
        <v>507.01315673835256</v>
      </c>
      <c r="F9" s="4"/>
      <c r="G9" s="5"/>
      <c r="U9" s="3" t="s">
        <v>181</v>
      </c>
      <c r="V9" s="4">
        <f>151.67*B2*2.4242</f>
        <v>4368.0195583200002</v>
      </c>
      <c r="W9" s="4"/>
      <c r="X9" s="5" t="s">
        <v>66</v>
      </c>
    </row>
    <row r="10" spans="1:24" x14ac:dyDescent="0.3">
      <c r="A10" s="3"/>
      <c r="B10" s="8" t="s">
        <v>73</v>
      </c>
      <c r="C10" s="81">
        <f>'1. Calcul Avec prov'!J5</f>
        <v>18</v>
      </c>
      <c r="D10" s="60">
        <f>SUM(D6:D9)</f>
        <v>309.84137356232657</v>
      </c>
      <c r="E10" s="60">
        <f>SUM(E6:E9)</f>
        <v>5577.1447241218784</v>
      </c>
      <c r="F10" s="17"/>
      <c r="G10" s="8" t="s">
        <v>66</v>
      </c>
      <c r="U10" s="3" t="s">
        <v>176</v>
      </c>
      <c r="V10" s="4">
        <v>3269</v>
      </c>
      <c r="W10" s="4"/>
      <c r="X10" s="5" t="s">
        <v>66</v>
      </c>
    </row>
    <row r="11" spans="1:24" ht="36.6" x14ac:dyDescent="0.3">
      <c r="A11" s="69"/>
      <c r="B11" s="69"/>
      <c r="C11" s="70" t="s">
        <v>74</v>
      </c>
      <c r="D11" s="70" t="s">
        <v>75</v>
      </c>
      <c r="E11" s="70" t="s">
        <v>76</v>
      </c>
      <c r="F11" s="70" t="s">
        <v>77</v>
      </c>
      <c r="G11" s="70" t="s">
        <v>78</v>
      </c>
      <c r="K11" s="9" t="s">
        <v>166</v>
      </c>
      <c r="U11" s="3" t="s">
        <v>177</v>
      </c>
      <c r="V11" s="4">
        <v>180</v>
      </c>
      <c r="W11" s="4"/>
      <c r="X11" s="5" t="s">
        <v>66</v>
      </c>
    </row>
    <row r="12" spans="1:24" x14ac:dyDescent="0.3">
      <c r="A12" s="63" t="s">
        <v>79</v>
      </c>
      <c r="B12" s="63" t="s">
        <v>80</v>
      </c>
      <c r="C12" s="64">
        <f>+$E$10</f>
        <v>5577.1447241218784</v>
      </c>
      <c r="D12" s="65">
        <v>0</v>
      </c>
      <c r="E12" s="64">
        <f>+C12*D12</f>
        <v>0</v>
      </c>
      <c r="F12" s="65">
        <f>IF(C12&gt;V9,13%,7%)</f>
        <v>0.13</v>
      </c>
      <c r="G12" s="64">
        <f>+C12*F12</f>
        <v>725.02881413584419</v>
      </c>
      <c r="K12" s="9" t="s">
        <v>167</v>
      </c>
    </row>
    <row r="13" spans="1:24" x14ac:dyDescent="0.3">
      <c r="A13" s="63" t="s">
        <v>82</v>
      </c>
      <c r="B13" s="63" t="s">
        <v>83</v>
      </c>
      <c r="C13" s="64">
        <f>+$E$10</f>
        <v>5577.1447241218784</v>
      </c>
      <c r="D13" s="65">
        <v>0</v>
      </c>
      <c r="E13" s="64">
        <f t="shared" ref="E13:E35" si="0">+C13*D13</f>
        <v>0</v>
      </c>
      <c r="F13" s="65">
        <v>3.0000000000000001E-3</v>
      </c>
      <c r="G13" s="64">
        <f>+C13*F13</f>
        <v>16.731434172365635</v>
      </c>
      <c r="K13" s="10" t="s">
        <v>168</v>
      </c>
    </row>
    <row r="14" spans="1:24" x14ac:dyDescent="0.3">
      <c r="A14" s="63" t="s">
        <v>84</v>
      </c>
      <c r="B14" s="63" t="s">
        <v>85</v>
      </c>
      <c r="C14" s="64">
        <f>+$E$10</f>
        <v>5577.1447241218784</v>
      </c>
      <c r="D14" s="65">
        <v>4.0000000000000001E-3</v>
      </c>
      <c r="E14" s="64">
        <f t="shared" si="0"/>
        <v>22.308578896487514</v>
      </c>
      <c r="F14" s="65">
        <v>2.0199999999999999E-2</v>
      </c>
      <c r="G14" s="64">
        <f t="shared" ref="G14:G35" si="1">+C14*F14</f>
        <v>112.65832342726193</v>
      </c>
      <c r="K14" s="9">
        <v>353.82</v>
      </c>
    </row>
    <row r="15" spans="1:24" x14ac:dyDescent="0.3">
      <c r="A15" s="63" t="s">
        <v>86</v>
      </c>
      <c r="B15" s="63" t="s">
        <v>87</v>
      </c>
      <c r="C15" s="64">
        <f>+IF(E$10&lt;V$6,E$10,V$6)</f>
        <v>3925</v>
      </c>
      <c r="D15" s="65">
        <v>6.9000000000000006E-2</v>
      </c>
      <c r="E15" s="64">
        <f t="shared" si="0"/>
        <v>270.82500000000005</v>
      </c>
      <c r="F15" s="65">
        <v>8.5500000000000007E-2</v>
      </c>
      <c r="G15" s="64">
        <f t="shared" si="1"/>
        <v>335.58750000000003</v>
      </c>
      <c r="H15" s="11"/>
    </row>
    <row r="16" spans="1:24" x14ac:dyDescent="0.3">
      <c r="A16" s="63" t="s">
        <v>88</v>
      </c>
      <c r="B16" s="63" t="s">
        <v>89</v>
      </c>
      <c r="C16" s="64">
        <f>+$E$10</f>
        <v>5577.1447241218784</v>
      </c>
      <c r="D16" s="65">
        <v>0</v>
      </c>
      <c r="E16" s="64">
        <f t="shared" si="0"/>
        <v>0</v>
      </c>
      <c r="F16" s="65">
        <v>3.4500000000000003E-2</v>
      </c>
      <c r="G16" s="64">
        <f t="shared" si="1"/>
        <v>192.41149298220483</v>
      </c>
      <c r="H16" s="11"/>
    </row>
    <row r="17" spans="1:8" x14ac:dyDescent="0.3">
      <c r="A17" s="63" t="s">
        <v>90</v>
      </c>
      <c r="B17" s="63" t="s">
        <v>91</v>
      </c>
      <c r="C17" s="64">
        <f>+$E$10</f>
        <v>5577.1447241218784</v>
      </c>
      <c r="D17" s="65">
        <v>0</v>
      </c>
      <c r="E17" s="64">
        <f t="shared" si="0"/>
        <v>0</v>
      </c>
      <c r="F17" s="65">
        <v>4.5999999999999999E-3</v>
      </c>
      <c r="G17" s="64">
        <f t="shared" si="1"/>
        <v>25.65486573096064</v>
      </c>
      <c r="H17" s="11"/>
    </row>
    <row r="18" spans="1:8" x14ac:dyDescent="0.3">
      <c r="A18" s="63" t="s">
        <v>92</v>
      </c>
      <c r="B18" s="63" t="s">
        <v>169</v>
      </c>
      <c r="C18" s="64">
        <f>+$E$10</f>
        <v>5577.1447241218784</v>
      </c>
      <c r="D18" s="65">
        <v>0</v>
      </c>
      <c r="E18" s="64">
        <f t="shared" si="0"/>
        <v>0</v>
      </c>
      <c r="F18" s="65">
        <v>5.0000000000000001E-3</v>
      </c>
      <c r="G18" s="64">
        <f t="shared" si="1"/>
        <v>27.885723620609394</v>
      </c>
      <c r="H18" s="11"/>
    </row>
    <row r="19" spans="1:8" x14ac:dyDescent="0.3">
      <c r="A19" s="63" t="s">
        <v>95</v>
      </c>
      <c r="B19" s="63" t="s">
        <v>96</v>
      </c>
      <c r="C19" s="64">
        <f>+V$7+V$8</f>
        <v>5577.1447241218784</v>
      </c>
      <c r="D19" s="65">
        <v>0</v>
      </c>
      <c r="E19" s="64">
        <f>+C19*D19</f>
        <v>0</v>
      </c>
      <c r="F19" s="65">
        <v>4.0500000000000001E-2</v>
      </c>
      <c r="G19" s="64">
        <f>+F19*C19</f>
        <v>225.87436132693608</v>
      </c>
    </row>
    <row r="20" spans="1:8" x14ac:dyDescent="0.3">
      <c r="A20" s="63" t="s">
        <v>97</v>
      </c>
      <c r="B20" s="63" t="s">
        <v>98</v>
      </c>
      <c r="C20" s="64">
        <f>+C19</f>
        <v>5577.1447241218784</v>
      </c>
      <c r="D20" s="65">
        <v>0</v>
      </c>
      <c r="E20" s="64">
        <f>+C20*D20</f>
        <v>0</v>
      </c>
      <c r="F20" s="65">
        <v>2.5000000000000001E-3</v>
      </c>
      <c r="G20" s="64">
        <f>+F20*C20</f>
        <v>13.942861810304697</v>
      </c>
    </row>
    <row r="21" spans="1:8" x14ac:dyDescent="0.3">
      <c r="A21" s="63" t="s">
        <v>99</v>
      </c>
      <c r="B21" s="63" t="s">
        <v>100</v>
      </c>
      <c r="C21" s="64">
        <f>+C15</f>
        <v>3925</v>
      </c>
      <c r="D21" s="65">
        <v>3.15E-2</v>
      </c>
      <c r="E21" s="64">
        <f t="shared" si="0"/>
        <v>123.6375</v>
      </c>
      <c r="F21" s="65">
        <v>4.7199999999999999E-2</v>
      </c>
      <c r="G21" s="64">
        <f t="shared" si="1"/>
        <v>185.26</v>
      </c>
    </row>
    <row r="22" spans="1:8" x14ac:dyDescent="0.3">
      <c r="A22" s="63" t="s">
        <v>103</v>
      </c>
      <c r="B22" s="63" t="s">
        <v>104</v>
      </c>
      <c r="C22" s="64">
        <f>+C20-C21</f>
        <v>1652.1447241218784</v>
      </c>
      <c r="D22" s="65">
        <v>8.6400000000000005E-2</v>
      </c>
      <c r="E22" s="64">
        <f>+C22*D22</f>
        <v>142.74530416413032</v>
      </c>
      <c r="F22" s="65">
        <v>0.1295</v>
      </c>
      <c r="G22" s="64">
        <f>+C22*F22</f>
        <v>213.95274177378326</v>
      </c>
    </row>
    <row r="23" spans="1:8" x14ac:dyDescent="0.3">
      <c r="A23" s="63" t="s">
        <v>110</v>
      </c>
      <c r="B23" s="63" t="s">
        <v>111</v>
      </c>
      <c r="C23" s="64">
        <f>+IF(E$10&lt;V$6,0,E$10)</f>
        <v>5577.1447241218784</v>
      </c>
      <c r="D23" s="65">
        <v>1.4E-3</v>
      </c>
      <c r="E23" s="64">
        <f>+C23*D23</f>
        <v>7.80800261377063</v>
      </c>
      <c r="F23" s="65">
        <v>2.0999999999999999E-3</v>
      </c>
      <c r="G23" s="64">
        <f>+C23*F23</f>
        <v>11.712003920655944</v>
      </c>
    </row>
    <row r="24" spans="1:8" x14ac:dyDescent="0.3">
      <c r="A24" s="63" t="s">
        <v>113</v>
      </c>
      <c r="B24" s="63" t="s">
        <v>114</v>
      </c>
      <c r="C24" s="64">
        <f>+C15</f>
        <v>3925</v>
      </c>
      <c r="D24" s="65">
        <v>8.6E-3</v>
      </c>
      <c r="E24" s="64">
        <f>+C24*D24</f>
        <v>33.755000000000003</v>
      </c>
      <c r="F24" s="65">
        <v>1.29E-2</v>
      </c>
      <c r="G24" s="64">
        <f>+C24*F24</f>
        <v>50.6325</v>
      </c>
    </row>
    <row r="25" spans="1:8" x14ac:dyDescent="0.3">
      <c r="A25" s="63" t="s">
        <v>113</v>
      </c>
      <c r="B25" s="63" t="s">
        <v>116</v>
      </c>
      <c r="C25" s="64">
        <f>+IF(E$10&lt;V$6,0,(E$10-V$6))</f>
        <v>1652.1447241218784</v>
      </c>
      <c r="D25" s="65">
        <v>1.0800000000000001E-2</v>
      </c>
      <c r="E25" s="64">
        <f>+C25*D25</f>
        <v>17.84316302051629</v>
      </c>
      <c r="F25" s="65">
        <v>1.6199999999999999E-2</v>
      </c>
      <c r="G25" s="64">
        <f>+C25*F25</f>
        <v>26.764744530774429</v>
      </c>
    </row>
    <row r="26" spans="1:8" x14ac:dyDescent="0.3">
      <c r="A26" s="63" t="s">
        <v>118</v>
      </c>
      <c r="B26" s="63" t="s">
        <v>119</v>
      </c>
      <c r="C26" s="64">
        <f>+C20</f>
        <v>5577.1447241218784</v>
      </c>
      <c r="D26" s="65">
        <v>2.4000000000000001E-4</v>
      </c>
      <c r="E26" s="64">
        <f t="shared" si="0"/>
        <v>1.3385147337892509</v>
      </c>
      <c r="F26" s="65">
        <v>3.6000000000000002E-4</v>
      </c>
      <c r="G26" s="64">
        <f t="shared" si="1"/>
        <v>2.0077721006838765</v>
      </c>
    </row>
    <row r="27" spans="1:8" ht="15" customHeight="1" x14ac:dyDescent="0.3">
      <c r="A27" s="63" t="s">
        <v>121</v>
      </c>
      <c r="B27" s="63" t="s">
        <v>122</v>
      </c>
      <c r="C27" s="64">
        <f>+C24</f>
        <v>3925</v>
      </c>
      <c r="D27" s="65">
        <v>0</v>
      </c>
      <c r="E27" s="64">
        <f t="shared" si="0"/>
        <v>0</v>
      </c>
      <c r="F27" s="65">
        <v>7.0000000000000001E-3</v>
      </c>
      <c r="G27" s="64">
        <f t="shared" si="1"/>
        <v>27.475000000000001</v>
      </c>
    </row>
    <row r="28" spans="1:8" x14ac:dyDescent="0.3">
      <c r="A28" s="63" t="s">
        <v>124</v>
      </c>
      <c r="B28" s="63" t="s">
        <v>125</v>
      </c>
      <c r="C28" s="64">
        <f>+IF(E$10&lt;V$6,0,(E$10-V$6))</f>
        <v>1652.1447241218784</v>
      </c>
      <c r="D28" s="65">
        <v>3.5999999999999999E-3</v>
      </c>
      <c r="E28" s="64">
        <f t="shared" si="0"/>
        <v>5.947721006838762</v>
      </c>
      <c r="F28" s="65">
        <v>3.5999999999999999E-3</v>
      </c>
      <c r="G28" s="64">
        <f t="shared" si="1"/>
        <v>5.947721006838762</v>
      </c>
    </row>
    <row r="29" spans="1:8" x14ac:dyDescent="0.3">
      <c r="A29" s="63" t="s">
        <v>127</v>
      </c>
      <c r="B29" s="63" t="s">
        <v>128</v>
      </c>
      <c r="C29" s="64">
        <f>+V6</f>
        <v>3925</v>
      </c>
      <c r="D29" s="65"/>
      <c r="E29" s="64">
        <f>IF('1. Calcul Avec prov'!J17="Oui",'1. Calcul Avec prov'!M17,0)</f>
        <v>30.4</v>
      </c>
      <c r="F29" s="65"/>
      <c r="G29" s="64">
        <f>IF('1. Calcul Avec prov'!J17="Oui",45.6,0)</f>
        <v>45.6</v>
      </c>
    </row>
    <row r="30" spans="1:8" x14ac:dyDescent="0.3">
      <c r="A30" s="63"/>
      <c r="B30" s="63" t="s">
        <v>182</v>
      </c>
      <c r="C30" s="64"/>
      <c r="D30" s="65"/>
      <c r="E30" s="64">
        <f>G27+G28+G29</f>
        <v>79.022721006838765</v>
      </c>
      <c r="F30" s="65">
        <v>0.08</v>
      </c>
      <c r="G30" s="64">
        <f>+E30*F30</f>
        <v>6.3218176805471016</v>
      </c>
    </row>
    <row r="31" spans="1:8" x14ac:dyDescent="0.3">
      <c r="A31" s="63" t="s">
        <v>129</v>
      </c>
      <c r="B31" s="63" t="s">
        <v>130</v>
      </c>
      <c r="C31" s="64">
        <f>+E10</f>
        <v>5577.1447241218784</v>
      </c>
      <c r="D31" s="65">
        <v>0</v>
      </c>
      <c r="E31" s="64">
        <f>+C31*D31</f>
        <v>0</v>
      </c>
      <c r="F31" s="65">
        <v>1.6000000000000001E-4</v>
      </c>
      <c r="G31" s="64">
        <f>+C31*F31</f>
        <v>0.89234315585950064</v>
      </c>
    </row>
    <row r="32" spans="1:8" x14ac:dyDescent="0.3">
      <c r="A32" s="63" t="s">
        <v>132</v>
      </c>
      <c r="B32" s="63" t="s">
        <v>133</v>
      </c>
      <c r="C32" s="64">
        <f>+E10</f>
        <v>5577.1447241218784</v>
      </c>
      <c r="D32" s="65">
        <v>0</v>
      </c>
      <c r="E32" s="64">
        <f>+C32*D32</f>
        <v>0</v>
      </c>
      <c r="F32" s="65">
        <v>6.7999999999999996E-3</v>
      </c>
      <c r="G32" s="64">
        <f>+C32*F32</f>
        <v>37.924584124028769</v>
      </c>
    </row>
    <row r="33" spans="1:12" ht="15" x14ac:dyDescent="0.35">
      <c r="A33" s="63" t="s">
        <v>134</v>
      </c>
      <c r="B33" s="63" t="s">
        <v>135</v>
      </c>
      <c r="C33" s="64">
        <f>+E10</f>
        <v>5577.1447241218784</v>
      </c>
      <c r="D33" s="65">
        <v>0</v>
      </c>
      <c r="E33" s="64">
        <f>+C33*D33</f>
        <v>0</v>
      </c>
      <c r="F33" s="65">
        <v>1E-4</v>
      </c>
      <c r="G33" s="64">
        <f>+C33*F33</f>
        <v>0.55771447241218786</v>
      </c>
      <c r="K33" s="12" t="s">
        <v>32</v>
      </c>
      <c r="L33" s="12" t="s">
        <v>131</v>
      </c>
    </row>
    <row r="34" spans="1:12" x14ac:dyDescent="0.3">
      <c r="A34" s="63" t="s">
        <v>136</v>
      </c>
      <c r="B34" s="63" t="s">
        <v>137</v>
      </c>
      <c r="C34" s="64">
        <f>E10</f>
        <v>5577.1447241218784</v>
      </c>
      <c r="D34" s="65">
        <v>0</v>
      </c>
      <c r="E34" s="64">
        <f>+C34*D34</f>
        <v>0</v>
      </c>
      <c r="F34" s="65">
        <v>4.0000000000000002E-4</v>
      </c>
      <c r="G34" s="64">
        <f>+C34*F34</f>
        <v>2.2308578896487514</v>
      </c>
      <c r="K34" s="93" t="s">
        <v>33</v>
      </c>
      <c r="L34" s="93">
        <f>$V$6*$D29</f>
        <v>0</v>
      </c>
    </row>
    <row r="35" spans="1:12" x14ac:dyDescent="0.3">
      <c r="A35" s="63" t="s">
        <v>138</v>
      </c>
      <c r="B35" s="63" t="s">
        <v>139</v>
      </c>
      <c r="C35" s="64">
        <f>+E10</f>
        <v>5577.1447241218784</v>
      </c>
      <c r="D35" s="65">
        <v>0</v>
      </c>
      <c r="E35" s="64">
        <f t="shared" si="0"/>
        <v>0</v>
      </c>
      <c r="F35" s="65">
        <v>1.6E-2</v>
      </c>
      <c r="G35" s="64">
        <f t="shared" si="1"/>
        <v>89.234315585950057</v>
      </c>
      <c r="K35" s="93" t="s">
        <v>112</v>
      </c>
      <c r="L35" s="93"/>
    </row>
    <row r="36" spans="1:12" x14ac:dyDescent="0.3">
      <c r="A36" s="63" t="s">
        <v>170</v>
      </c>
      <c r="B36" s="63" t="s">
        <v>140</v>
      </c>
      <c r="C36" s="64">
        <f>+E10</f>
        <v>5577.1447241218784</v>
      </c>
      <c r="D36" s="65">
        <v>0</v>
      </c>
      <c r="E36" s="64">
        <f>+C36*D36</f>
        <v>0</v>
      </c>
      <c r="F36" s="65">
        <f>0.45%</f>
        <v>4.5000000000000005E-3</v>
      </c>
      <c r="G36" s="64">
        <f>+C36*F36</f>
        <v>25.097151258548458</v>
      </c>
    </row>
    <row r="37" spans="1:12" x14ac:dyDescent="0.3">
      <c r="A37" s="63"/>
      <c r="B37" s="63" t="s">
        <v>141</v>
      </c>
      <c r="C37" s="64">
        <f>E10</f>
        <v>5577.1447241218784</v>
      </c>
      <c r="D37" s="65">
        <v>0</v>
      </c>
      <c r="E37" s="64">
        <f t="shared" ref="E37" si="2">+C37*D37</f>
        <v>0</v>
      </c>
      <c r="F37" s="65" t="e">
        <f>tx_taxe_transport/100</f>
        <v>#REF!</v>
      </c>
      <c r="G37" s="64" t="e">
        <f t="shared" ref="G37" si="3">+C37*F37</f>
        <v>#REF!</v>
      </c>
      <c r="H37" t="s">
        <v>180</v>
      </c>
    </row>
    <row r="38" spans="1:12" x14ac:dyDescent="0.3">
      <c r="A38" s="63" t="s">
        <v>142</v>
      </c>
      <c r="B38" s="63" t="s">
        <v>143</v>
      </c>
      <c r="C38" s="64">
        <f>IF(($E$10/151.67)&gt;(B2*3.3636),$E$10,0)</f>
        <v>0</v>
      </c>
      <c r="D38" s="65">
        <v>0</v>
      </c>
      <c r="E38" s="64">
        <f>+C38*D38</f>
        <v>0</v>
      </c>
      <c r="F38" s="65">
        <v>1.7999999999999999E-2</v>
      </c>
      <c r="G38" s="64">
        <f>+C38*F38</f>
        <v>0</v>
      </c>
    </row>
    <row r="39" spans="1:12" x14ac:dyDescent="0.3">
      <c r="A39" s="63" t="s">
        <v>144</v>
      </c>
      <c r="B39" s="63" t="s">
        <v>145</v>
      </c>
      <c r="C39" s="64">
        <f>+C40</f>
        <v>5558.5674124565849</v>
      </c>
      <c r="D39" s="65">
        <v>2.9000000000000001E-2</v>
      </c>
      <c r="E39" s="64">
        <f>+C39*D39</f>
        <v>161.19845496124097</v>
      </c>
      <c r="F39" s="65">
        <v>0</v>
      </c>
      <c r="G39" s="64">
        <f>+C39*F39</f>
        <v>0</v>
      </c>
    </row>
    <row r="40" spans="1:12" x14ac:dyDescent="0.3">
      <c r="A40" s="63" t="s">
        <v>146</v>
      </c>
      <c r="B40" s="63" t="s">
        <v>147</v>
      </c>
      <c r="C40" s="64">
        <f>+($E$10-($E$10*1.75%))+$G$27+$G$28+$G$29</f>
        <v>5558.5674124565849</v>
      </c>
      <c r="D40" s="65">
        <v>6.8000000000000005E-2</v>
      </c>
      <c r="E40" s="64">
        <f>+C40*D40</f>
        <v>377.98258404704779</v>
      </c>
      <c r="F40" s="65">
        <v>0</v>
      </c>
      <c r="G40" s="64">
        <f>+C40*F40</f>
        <v>0</v>
      </c>
    </row>
    <row r="41" spans="1:12" x14ac:dyDescent="0.3">
      <c r="A41" s="6" t="s">
        <v>66</v>
      </c>
      <c r="B41" s="6" t="s">
        <v>148</v>
      </c>
      <c r="C41" s="6" t="s">
        <v>66</v>
      </c>
      <c r="D41" s="6"/>
      <c r="E41" s="7">
        <f>SUM(E12:E40)-E39</f>
        <v>1113.6140894894193</v>
      </c>
      <c r="F41" s="7"/>
      <c r="G41" s="17"/>
    </row>
    <row r="42" spans="1:12" x14ac:dyDescent="0.3">
      <c r="A42" s="6" t="s">
        <v>66</v>
      </c>
      <c r="B42" s="6" t="s">
        <v>149</v>
      </c>
      <c r="C42" s="6" t="s">
        <v>66</v>
      </c>
      <c r="D42" s="6"/>
      <c r="E42" s="7">
        <f>+E39</f>
        <v>161.19845496124097</v>
      </c>
      <c r="F42" s="7"/>
      <c r="G42" s="8" t="s">
        <v>66</v>
      </c>
    </row>
    <row r="43" spans="1:12" x14ac:dyDescent="0.3">
      <c r="A43" s="6" t="s">
        <v>66</v>
      </c>
      <c r="B43" s="6" t="s">
        <v>150</v>
      </c>
      <c r="C43" s="6" t="s">
        <v>66</v>
      </c>
      <c r="D43" s="6"/>
      <c r="E43" s="7">
        <f>E41+E42</f>
        <v>1274.8125444506602</v>
      </c>
      <c r="F43" s="18"/>
      <c r="G43" s="17" t="e">
        <f>SUM(G12:G40)</f>
        <v>#REF!</v>
      </c>
      <c r="H43" s="102" t="e">
        <f>G43/E10</f>
        <v>#REF!</v>
      </c>
    </row>
    <row r="44" spans="1:12" x14ac:dyDescent="0.3">
      <c r="A44" s="19" t="s">
        <v>66</v>
      </c>
      <c r="B44" s="19" t="s">
        <v>171</v>
      </c>
      <c r="C44" s="19" t="s">
        <v>66</v>
      </c>
      <c r="D44" s="19"/>
      <c r="E44" s="20">
        <f>+E10-E43+E42</f>
        <v>4463.5306346324587</v>
      </c>
      <c r="F44" s="20"/>
      <c r="G44" s="21" t="s">
        <v>66</v>
      </c>
    </row>
    <row r="45" spans="1:12" x14ac:dyDescent="0.3">
      <c r="A45" s="22" t="s">
        <v>66</v>
      </c>
      <c r="B45" s="22" t="s">
        <v>154</v>
      </c>
      <c r="C45" s="22" t="s">
        <v>66</v>
      </c>
      <c r="D45" s="22"/>
      <c r="E45" s="23">
        <f>E10-E43-'1. Calcul Avec prov'!J13</f>
        <v>4203.332179671218</v>
      </c>
      <c r="F45" s="23"/>
      <c r="G45" s="24" t="s">
        <v>66</v>
      </c>
    </row>
    <row r="46" spans="1:12" x14ac:dyDescent="0.3">
      <c r="A46" s="22"/>
      <c r="B46" s="22" t="s">
        <v>172</v>
      </c>
      <c r="C46" s="22"/>
      <c r="D46" s="22"/>
      <c r="E46" s="23">
        <f>E45+'2. Calcul Sans prov'!J11</f>
        <v>4203.332179671218</v>
      </c>
      <c r="F46" s="23"/>
      <c r="G46" s="24"/>
    </row>
    <row r="47" spans="1:12" x14ac:dyDescent="0.3">
      <c r="A47" s="19" t="s">
        <v>66</v>
      </c>
      <c r="B47" s="19" t="s">
        <v>173</v>
      </c>
      <c r="C47" s="19" t="s">
        <v>66</v>
      </c>
      <c r="D47" s="19"/>
      <c r="E47" s="20" t="e">
        <f>+E10+G43</f>
        <v>#REF!</v>
      </c>
      <c r="F47" s="20"/>
      <c r="G47" s="21" t="s">
        <v>66</v>
      </c>
    </row>
    <row r="48" spans="1:12" x14ac:dyDescent="0.3">
      <c r="A48" s="22" t="s">
        <v>66</v>
      </c>
      <c r="B48" s="22" t="s">
        <v>158</v>
      </c>
      <c r="C48" s="22" t="s">
        <v>66</v>
      </c>
      <c r="D48" s="22"/>
      <c r="E48" s="23">
        <f>E45-'2. Calcul Sans prov'!K18</f>
        <v>3782.998961704096</v>
      </c>
      <c r="F48" s="23"/>
      <c r="G48" s="24" t="s">
        <v>66</v>
      </c>
    </row>
    <row r="49" spans="2:11" x14ac:dyDescent="0.3">
      <c r="G49" s="1"/>
    </row>
    <row r="50" spans="2:11" hidden="1" x14ac:dyDescent="0.3">
      <c r="B50" t="s">
        <v>162</v>
      </c>
      <c r="C50" s="11">
        <f>+E43/E10</f>
        <v>0.22857799241553292</v>
      </c>
      <c r="G50" s="1"/>
    </row>
    <row r="51" spans="2:11" x14ac:dyDescent="0.3">
      <c r="B51" t="s">
        <v>164</v>
      </c>
      <c r="C51" s="11" t="e">
        <f>+G43/E10</f>
        <v>#REF!</v>
      </c>
      <c r="G51" s="1"/>
      <c r="K51" t="s">
        <v>174</v>
      </c>
    </row>
    <row r="52" spans="2:11" x14ac:dyDescent="0.3">
      <c r="K52" t="s">
        <v>175</v>
      </c>
    </row>
    <row r="53" spans="2:11" x14ac:dyDescent="0.3">
      <c r="K53" t="s">
        <v>163</v>
      </c>
    </row>
  </sheetData>
  <mergeCells count="2">
    <mergeCell ref="A1:G1"/>
    <mergeCell ref="C3:G3"/>
  </mergeCells>
  <phoneticPr fontId="47" type="noConversion"/>
  <pageMargins left="0.7" right="0.7" top="0.75" bottom="0.75" header="0.3" footer="0.3"/>
  <customProperties>
    <customPr name="OrphanNamesChecke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gpreadonly xmlns="1d06146d-98bb-41f9-ab1a-602730092ad5">false</gpreadonly>
    <gpdocumentapprovalstatus xmlns="0220b7ec-074b-4483-a194-4c74a058e440" xsi:nil="true"/>
    <gpapprovalby xmlns="1d06146d-98bb-41f9-ab1a-602730092ad5">
      <UserInfo>
        <DisplayName/>
        <AccountId xsi:nil="true"/>
        <AccountType/>
      </UserInfo>
    </gpapprovalby>
    <gprestricted xmlns="1d06146d-98bb-41f9-ab1a-602730092ad5">false</gprestricted>
    <gpapprovalcomments xmlns="1d06146d-98bb-41f9-ab1a-602730092ad5" xsi:nil="true"/>
    <gpUploadStatus xmlns="1d06146d-98bb-41f9-ab1a-602730092ad5">Completed</gpUploadStatus>
    <gprequestsignature xmlns="B89A7DF0-95E9-4F2D-8FCD-5CCD1FFF9BC1" xsi:nil="true"/>
    <gprequestapproval xmlns="7B1FB819-5CB1-4A45-976D-9AD03BC06F20"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BDO_Project_Document" ma:contentTypeID="0x01010078E595C6EB318341B7D7061AFAFF23BD0200186A38CF2AD8034DBECF4ECE7CB93DCC" ma:contentTypeVersion="24" ma:contentTypeDescription="Crée un document." ma:contentTypeScope="" ma:versionID="63af90c4b14fc549205454070e07a8e8">
  <xsd:schema xmlns:xsd="http://www.w3.org/2001/XMLSchema" xmlns:xs="http://www.w3.org/2001/XMLSchema" xmlns:p="http://schemas.microsoft.com/office/2006/metadata/properties" xmlns:ns2="0220b7ec-074b-4483-a194-4c74a058e440" xmlns:ns3="1d06146d-98bb-41f9-ab1a-602730092ad5" xmlns:ns4="7B1FB819-5CB1-4A45-976D-9AD03BC06F20" xmlns:ns5="B89A7DF0-95E9-4F2D-8FCD-5CCD1FFF9BC1" xmlns:ns6="cf0a1d4c-b86d-4d81-b8f4-e2a5edb38bfd" targetNamespace="http://schemas.microsoft.com/office/2006/metadata/properties" ma:root="true" ma:fieldsID="afb3e84d110128ede1732aec90bb8073" ns2:_="" ns3:_="" ns4:_="" ns5:_="" ns6:_="">
    <xsd:import namespace="0220b7ec-074b-4483-a194-4c74a058e440"/>
    <xsd:import namespace="1d06146d-98bb-41f9-ab1a-602730092ad5"/>
    <xsd:import namespace="7B1FB819-5CB1-4A45-976D-9AD03BC06F20"/>
    <xsd:import namespace="B89A7DF0-95E9-4F2D-8FCD-5CCD1FFF9BC1"/>
    <xsd:import namespace="cf0a1d4c-b86d-4d81-b8f4-e2a5edb38bfd"/>
    <xsd:element name="properties">
      <xsd:complexType>
        <xsd:sequence>
          <xsd:element name="documentManagement">
            <xsd:complexType>
              <xsd:all>
                <xsd:element ref="ns2:gpdocumentapprovalstatus" minOccurs="0"/>
                <xsd:element ref="ns3:gpapprovalby" minOccurs="0"/>
                <xsd:element ref="ns3:gpapprovalcomments" minOccurs="0"/>
                <xsd:element ref="ns3:gpUploadStatus" minOccurs="0"/>
                <xsd:element ref="ns4:gprequestapproval" minOccurs="0"/>
                <xsd:element ref="ns5:gprequestsignature" minOccurs="0"/>
                <xsd:element ref="ns3:gpreadonly" minOccurs="0"/>
                <xsd:element ref="ns3:gprestricted" minOccurs="0"/>
                <xsd:element ref="ns6:MediaServiceMetadata" minOccurs="0"/>
                <xsd:element ref="ns6:MediaServiceFastMetadata" minOccurs="0"/>
                <xsd:element ref="ns6:MediaServiceObjectDetectorVersions" minOccurs="0"/>
                <xsd:element ref="ns6: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20b7ec-074b-4483-a194-4c74a058e440" elementFormDefault="qualified">
    <xsd:import namespace="http://schemas.microsoft.com/office/2006/documentManagement/types"/>
    <xsd:import namespace="http://schemas.microsoft.com/office/infopath/2007/PartnerControls"/>
    <xsd:element name="gpdocumentapprovalstatus" ma:index="8" nillable="true" ma:displayName="Approval status" ma:format="Dropdown" ma:internalName="gpdocumentapprovalstatus" ma:readOnly="false">
      <xsd:simpleType>
        <xsd:restriction base="dms:Choice">
          <xsd:enumeration value="Pending"/>
          <xsd:enumeration value="Approved"/>
          <xsd:enumeration value="Rejected"/>
        </xsd:restriction>
      </xsd:simpleType>
    </xsd:element>
  </xsd:schema>
  <xsd:schema xmlns:xsd="http://www.w3.org/2001/XMLSchema" xmlns:xs="http://www.w3.org/2001/XMLSchema" xmlns:dms="http://schemas.microsoft.com/office/2006/documentManagement/types" xmlns:pc="http://schemas.microsoft.com/office/infopath/2007/PartnerControls" targetNamespace="1d06146d-98bb-41f9-ab1a-602730092ad5" elementFormDefault="qualified">
    <xsd:import namespace="http://schemas.microsoft.com/office/2006/documentManagement/types"/>
    <xsd:import namespace="http://schemas.microsoft.com/office/infopath/2007/PartnerControls"/>
    <xsd:element name="gpapprovalby" ma:index="9" nillable="true" ma:displayName="Approval By" ma:list="UserInfo" ma:SharePointGroup="0" ma:internalName="gpapproval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papprovalcomments" ma:index="10" nillable="true" ma:displayName="Approval Comments" ma:internalName="gpapprovalcomments" ma:readOnly="false">
      <xsd:simpleType>
        <xsd:restriction base="dms:Note">
          <xsd:maxLength value="255"/>
        </xsd:restriction>
      </xsd:simpleType>
    </xsd:element>
    <xsd:element name="gpUploadStatus" ma:index="11" nillable="true" ma:displayName="UploadStatus" ma:default="Completed" ma:format="Dropdown" ma:internalName="gpUploadStatus" ma:readOnly="false">
      <xsd:simpleType>
        <xsd:restriction base="dms:Choice">
          <xsd:enumeration value="Completed"/>
          <xsd:enumeration value="InProgress"/>
        </xsd:restriction>
      </xsd:simpleType>
    </xsd:element>
    <xsd:element name="gpreadonly" ma:index="14" nillable="true" ma:displayName="Read only" ma:default="0" ma:indexed="true" ma:internalName="gpreadonly" ma:readOnly="false">
      <xsd:simpleType>
        <xsd:restriction base="dms:Boolean"/>
      </xsd:simpleType>
    </xsd:element>
    <xsd:element name="gprestricted" ma:index="15" nillable="true" ma:displayName="Restricted" ma:default="0" ma:indexed="true" ma:internalName="gprestricted" ma:readOnly="fals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7B1FB819-5CB1-4A45-976D-9AD03BC06F20" elementFormDefault="qualified">
    <xsd:import namespace="http://schemas.microsoft.com/office/2006/documentManagement/types"/>
    <xsd:import namespace="http://schemas.microsoft.com/office/infopath/2007/PartnerControls"/>
    <xsd:element name="gprequestapproval" ma:index="12" nillable="true" ma:displayName="Request Approval" ma:format="Dropdown" ma:internalName="gprequestapproval" ma:readOnly="false">
      <xsd:simpleType>
        <xsd:restriction base="dms:Choice">
          <xsd:enumeration value="In Progress"/>
          <xsd:enumeration value="Approved"/>
          <xsd:enumeration value="Reject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B89A7DF0-95E9-4F2D-8FCD-5CCD1FFF9BC1" elementFormDefault="qualified">
    <xsd:import namespace="http://schemas.microsoft.com/office/2006/documentManagement/types"/>
    <xsd:import namespace="http://schemas.microsoft.com/office/infopath/2007/PartnerControls"/>
    <xsd:element name="gprequestsignature" ma:index="13" nillable="true" ma:displayName="Request Signature" ma:format="Dropdown" ma:internalName="gprequestsignature" ma:readOnly="false">
      <xsd:simpleType>
        <xsd:restriction base="dms:Choice">
          <xsd:enumeration value="In Progress"/>
          <xsd:enumeration value="Signed"/>
          <xsd:enumeration value="Declined"/>
          <xsd:enumeration value="Cancelled"/>
        </xsd:restriction>
      </xsd:simpleType>
    </xsd:element>
  </xsd:schema>
  <xsd:schema xmlns:xsd="http://www.w3.org/2001/XMLSchema" xmlns:xs="http://www.w3.org/2001/XMLSchema" xmlns:dms="http://schemas.microsoft.com/office/2006/documentManagement/types" xmlns:pc="http://schemas.microsoft.com/office/infopath/2007/PartnerControls" targetNamespace="cf0a1d4c-b86d-4d81-b8f4-e2a5edb38b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40D9F4D-3E45-41B2-95B2-B0A7F414EBDE}">
  <ds:schemaRefs>
    <ds:schemaRef ds:uri="http://schemas.microsoft.com/sharepoint/v3/contenttype/forms"/>
  </ds:schemaRefs>
</ds:datastoreItem>
</file>

<file path=customXml/itemProps2.xml><?xml version="1.0" encoding="utf-8"?>
<ds:datastoreItem xmlns:ds="http://schemas.openxmlformats.org/officeDocument/2006/customXml" ds:itemID="{41961D41-5820-44A9-91AB-F495F5F60819}">
  <ds:schemaRefs>
    <ds:schemaRef ds:uri="http://schemas.microsoft.com/office/2006/metadata/properties"/>
    <ds:schemaRef ds:uri="http://schemas.microsoft.com/office/infopath/2007/PartnerControls"/>
    <ds:schemaRef ds:uri="1d06146d-98bb-41f9-ab1a-602730092ad5"/>
    <ds:schemaRef ds:uri="0220b7ec-074b-4483-a194-4c74a058e440"/>
    <ds:schemaRef ds:uri="B89A7DF0-95E9-4F2D-8FCD-5CCD1FFF9BC1"/>
    <ds:schemaRef ds:uri="7B1FB819-5CB1-4A45-976D-9AD03BC06F20"/>
  </ds:schemaRefs>
</ds:datastoreItem>
</file>

<file path=customXml/itemProps3.xml><?xml version="1.0" encoding="utf-8"?>
<ds:datastoreItem xmlns:ds="http://schemas.openxmlformats.org/officeDocument/2006/customXml" ds:itemID="{476059B6-FFD9-4928-853C-395C5CC4FA45}">
  <ds:schemaRefs>
    <ds:schemaRef ds:uri="http://schemas.microsoft.com/DataMashup"/>
  </ds:schemaRefs>
</ds:datastoreItem>
</file>

<file path=customXml/itemProps4.xml><?xml version="1.0" encoding="utf-8"?>
<ds:datastoreItem xmlns:ds="http://schemas.openxmlformats.org/officeDocument/2006/customXml" ds:itemID="{422DFB05-ADC7-45CD-863C-8C1F3876B4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20b7ec-074b-4483-a194-4c74a058e440"/>
    <ds:schemaRef ds:uri="1d06146d-98bb-41f9-ab1a-602730092ad5"/>
    <ds:schemaRef ds:uri="7B1FB819-5CB1-4A45-976D-9AD03BC06F20"/>
    <ds:schemaRef ds:uri="B89A7DF0-95E9-4F2D-8FCD-5CCD1FFF9BC1"/>
    <ds:schemaRef ds:uri="cf0a1d4c-b86d-4d81-b8f4-e2a5edb38b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vt:i4>
      </vt:variant>
    </vt:vector>
  </HeadingPairs>
  <TitlesOfParts>
    <vt:vector size="9" baseType="lpstr">
      <vt:lpstr>HOW TO USE</vt:lpstr>
      <vt:lpstr>1. Calcul Avec prov</vt:lpstr>
      <vt:lpstr>2. Calcul Sans prov</vt:lpstr>
      <vt:lpstr>3. Template</vt:lpstr>
      <vt:lpstr>Glossaire</vt:lpstr>
      <vt:lpstr>BS . Avec prov</vt:lpstr>
      <vt:lpstr>BS . Sans prov</vt:lpstr>
      <vt:lpstr>tx_taxe_transport</vt:lpstr>
      <vt:lpstr>'3. Template'!Zone_d_impression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ANARCY</dc:creator>
  <cp:keywords/>
  <dc:description/>
  <cp:lastModifiedBy>lucas blanchet</cp:lastModifiedBy>
  <cp:revision/>
  <dcterms:created xsi:type="dcterms:W3CDTF">2019-04-29T15:16:48Z</dcterms:created>
  <dcterms:modified xsi:type="dcterms:W3CDTF">2025-03-30T23:10:11Z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0x01010078E595C6EB318341B7D7061AFAFF23BD0200186A38CF2AD8034DBECF4ECE7CB93DCC</vt:lpwstr>
  </property>
</Properties>
</file>